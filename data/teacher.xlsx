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19425" windowHeight="10425" tabRatio="838" activeTab="2"/>
  </bookViews>
  <sheets>
    <sheet name="全校113學年度授課節數比較表" sheetId="29" r:id="rId1"/>
    <sheet name="日113課程節數預估表" sheetId="25" r:id="rId2"/>
    <sheet name="日114課程節數預估表" sheetId="31" r:id="rId3"/>
    <sheet name="112課程節數一覽表(商經科修改，橙色底深紅字)" sheetId="23" state="hidden" r:id="rId4"/>
    <sheet name="進113課程節數一覽表" sheetId="32" r:id="rId5"/>
    <sheet name="113進修部-節數比較表(7班)" sheetId="33" r:id="rId6"/>
  </sheets>
  <externalReferences>
    <externalReference r:id="rId7"/>
  </externalReferences>
  <definedNames>
    <definedName name="_xlnm.Print_Area" localSheetId="3">'112課程節數一覽表(商經科修改，橙色底深紅字)'!$A$1:$AH$124</definedName>
    <definedName name="_xlnm.Print_Area" localSheetId="1">日113課程節數預估表!$A$1:$AJ$128</definedName>
    <definedName name="_xlnm.Print_Area" localSheetId="2">日114課程節數預估表!$A$1:$AL$140</definedName>
    <definedName name="_xlnm.Print_Area" localSheetId="0">全校113學年度授課節數比較表!$A$1:$AK$20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4" i="25" l="1"/>
  <c r="AF44" i="25"/>
  <c r="AH44" i="31"/>
  <c r="AI44" i="31"/>
  <c r="AO16" i="31" l="1"/>
  <c r="AN16" i="31"/>
  <c r="AO15" i="31"/>
  <c r="AN15" i="31"/>
  <c r="AM15" i="25"/>
  <c r="AL15" i="25"/>
  <c r="AL14" i="25"/>
  <c r="L16" i="29"/>
  <c r="P16" i="29" s="1"/>
  <c r="L15" i="29"/>
  <c r="P15" i="29" s="1"/>
  <c r="D15" i="29"/>
  <c r="L14" i="29"/>
  <c r="L13" i="29"/>
  <c r="L12" i="29"/>
  <c r="L9" i="29"/>
  <c r="P9" i="29" s="1"/>
  <c r="AI67" i="31"/>
  <c r="AH67" i="31"/>
  <c r="L8" i="29"/>
  <c r="P8" i="29" s="1"/>
  <c r="L7" i="29"/>
  <c r="P7" i="29" s="1"/>
  <c r="D7" i="29"/>
  <c r="L6" i="29"/>
  <c r="P6" i="29" s="1"/>
  <c r="L5" i="29"/>
  <c r="P5" i="29" s="1"/>
  <c r="K15" i="29"/>
  <c r="D16" i="29"/>
  <c r="H16" i="29" s="1"/>
  <c r="D14" i="29"/>
  <c r="D13" i="29"/>
  <c r="D11" i="29"/>
  <c r="D9" i="29"/>
  <c r="D8" i="29"/>
  <c r="X17" i="33"/>
  <c r="B17" i="33" s="1"/>
  <c r="W17" i="33"/>
  <c r="C17" i="33"/>
  <c r="D17" i="33" s="1"/>
  <c r="X16" i="33"/>
  <c r="W16" i="33"/>
  <c r="C16" i="33"/>
  <c r="D16" i="33" s="1"/>
  <c r="F16" i="33" s="1"/>
  <c r="B16" i="33"/>
  <c r="X15" i="33"/>
  <c r="B15" i="33" s="1"/>
  <c r="W15" i="33"/>
  <c r="C15" i="33"/>
  <c r="D15" i="33" s="1"/>
  <c r="X14" i="33"/>
  <c r="W14" i="33"/>
  <c r="C14" i="33"/>
  <c r="D14" i="33" s="1"/>
  <c r="F14" i="33" s="1"/>
  <c r="B14" i="33"/>
  <c r="X13" i="33"/>
  <c r="B13" i="33" s="1"/>
  <c r="W13" i="33"/>
  <c r="C13" i="33"/>
  <c r="W12" i="33"/>
  <c r="C12" i="33"/>
  <c r="X11" i="33"/>
  <c r="W11" i="33"/>
  <c r="C11" i="33"/>
  <c r="D11" i="33" s="1"/>
  <c r="F11" i="33" s="1"/>
  <c r="B11" i="33"/>
  <c r="X10" i="33"/>
  <c r="B10" i="33" s="1"/>
  <c r="W10" i="33"/>
  <c r="C10" i="33"/>
  <c r="D10" i="33" s="1"/>
  <c r="F10" i="33" s="1"/>
  <c r="X9" i="33"/>
  <c r="B9" i="33" s="1"/>
  <c r="W9" i="33"/>
  <c r="C9" i="33"/>
  <c r="D9" i="33" s="1"/>
  <c r="X8" i="33"/>
  <c r="W8" i="33"/>
  <c r="C8" i="33"/>
  <c r="D8" i="33" s="1"/>
  <c r="F8" i="33" s="1"/>
  <c r="B8" i="33"/>
  <c r="X7" i="33"/>
  <c r="B7" i="33" s="1"/>
  <c r="W7" i="33"/>
  <c r="C7" i="33"/>
  <c r="D7" i="33" s="1"/>
  <c r="F7" i="33" s="1"/>
  <c r="X6" i="33"/>
  <c r="W6" i="33"/>
  <c r="C6" i="33"/>
  <c r="D6" i="33" s="1"/>
  <c r="F6" i="33" s="1"/>
  <c r="B6" i="33"/>
  <c r="X5" i="33"/>
  <c r="B5" i="33" s="1"/>
  <c r="W5" i="33"/>
  <c r="C5" i="33"/>
  <c r="C18" i="33" s="1"/>
  <c r="N4" i="33"/>
  <c r="X12" i="33" s="1"/>
  <c r="B12" i="33" s="1"/>
  <c r="D12" i="33" s="1"/>
  <c r="F12" i="33" s="1"/>
  <c r="I78" i="32"/>
  <c r="H78" i="32"/>
  <c r="G78" i="32"/>
  <c r="F78" i="32"/>
  <c r="E78" i="32"/>
  <c r="D78" i="32"/>
  <c r="C78" i="32"/>
  <c r="J77" i="32"/>
  <c r="J76" i="32"/>
  <c r="J75" i="32"/>
  <c r="J74" i="32"/>
  <c r="J73" i="32"/>
  <c r="J72" i="32"/>
  <c r="J71" i="32"/>
  <c r="J70" i="32"/>
  <c r="K70" i="32" s="1"/>
  <c r="J69" i="32"/>
  <c r="J68" i="32"/>
  <c r="K68" i="32" s="1"/>
  <c r="J67" i="32"/>
  <c r="J66" i="32"/>
  <c r="J65" i="32"/>
  <c r="J64" i="32"/>
  <c r="J63" i="32"/>
  <c r="K63" i="32" s="1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K14" i="32" s="1"/>
  <c r="J13" i="32"/>
  <c r="J12" i="32"/>
  <c r="J11" i="32"/>
  <c r="J10" i="32"/>
  <c r="J9" i="32"/>
  <c r="J8" i="32"/>
  <c r="J7" i="32"/>
  <c r="J6" i="32"/>
  <c r="J5" i="32"/>
  <c r="J4" i="32"/>
  <c r="K4" i="32" s="1"/>
  <c r="D5" i="29" s="1"/>
  <c r="K1" i="32"/>
  <c r="A1" i="32"/>
  <c r="M15" i="29" l="1"/>
  <c r="P14" i="29"/>
  <c r="P13" i="29"/>
  <c r="P12" i="29"/>
  <c r="J78" i="32"/>
  <c r="K75" i="32"/>
  <c r="K42" i="32"/>
  <c r="K12" i="32"/>
  <c r="K28" i="32"/>
  <c r="K15" i="32"/>
  <c r="K65" i="32"/>
  <c r="F9" i="33"/>
  <c r="F15" i="33"/>
  <c r="B18" i="33"/>
  <c r="F17" i="33"/>
  <c r="D13" i="33"/>
  <c r="F13" i="33" s="1"/>
  <c r="D5" i="33"/>
  <c r="K78" i="32" l="1"/>
  <c r="D18" i="33"/>
  <c r="F5" i="33"/>
  <c r="AG52" i="25" l="1"/>
  <c r="AH82" i="25"/>
  <c r="AH89" i="31"/>
  <c r="AI88" i="31"/>
  <c r="AH88" i="31"/>
  <c r="AI85" i="31"/>
  <c r="AH85" i="31"/>
  <c r="AI66" i="31"/>
  <c r="AH66" i="31"/>
  <c r="AI52" i="31"/>
  <c r="AH52" i="31"/>
  <c r="AI45" i="31"/>
  <c r="AH45" i="31"/>
  <c r="AI28" i="31"/>
  <c r="AI25" i="31"/>
  <c r="AH25" i="31"/>
  <c r="AH14" i="31"/>
  <c r="AI14" i="31"/>
  <c r="AI10" i="31"/>
  <c r="AH10" i="31"/>
  <c r="AI9" i="31"/>
  <c r="AH9" i="31"/>
  <c r="AH11" i="31"/>
  <c r="AI11" i="31"/>
  <c r="AI7" i="31"/>
  <c r="AH7" i="31"/>
  <c r="AH5" i="31"/>
  <c r="AI5" i="31"/>
  <c r="Y140" i="31"/>
  <c r="X140" i="31"/>
  <c r="H15" i="29" l="1"/>
  <c r="C12" i="29"/>
  <c r="K12" i="29" s="1"/>
  <c r="M12" i="29" s="1"/>
  <c r="AI9" i="29"/>
  <c r="G9" i="29" s="1"/>
  <c r="AG140" i="31"/>
  <c r="AF140" i="31"/>
  <c r="AE140" i="31"/>
  <c r="AD140" i="31"/>
  <c r="AC140" i="31"/>
  <c r="AB140" i="31"/>
  <c r="AA140" i="31"/>
  <c r="Z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AI139" i="31"/>
  <c r="AK139" i="31" s="1"/>
  <c r="AH139" i="31"/>
  <c r="AJ139" i="31" s="1"/>
  <c r="AI138" i="31"/>
  <c r="AK138" i="31" s="1"/>
  <c r="AH138" i="31"/>
  <c r="AJ138" i="31" s="1"/>
  <c r="AK137" i="31"/>
  <c r="AI137" i="31"/>
  <c r="AH137" i="31"/>
  <c r="AJ137" i="31" s="1"/>
  <c r="AK136" i="31"/>
  <c r="AI136" i="31"/>
  <c r="AH136" i="31"/>
  <c r="AJ136" i="31" s="1"/>
  <c r="AI134" i="31"/>
  <c r="AH134" i="31"/>
  <c r="AK103" i="31"/>
  <c r="AJ103" i="31"/>
  <c r="AH97" i="31"/>
  <c r="AI94" i="31"/>
  <c r="AI93" i="31"/>
  <c r="AH93" i="31"/>
  <c r="AI92" i="31"/>
  <c r="AH92" i="31"/>
  <c r="AI91" i="31"/>
  <c r="AH91" i="31"/>
  <c r="AI90" i="31"/>
  <c r="AH90" i="31"/>
  <c r="AI89" i="31"/>
  <c r="AI87" i="31"/>
  <c r="AH87" i="31"/>
  <c r="AI86" i="31"/>
  <c r="AH86" i="31"/>
  <c r="AJ82" i="31" s="1"/>
  <c r="AI84" i="31"/>
  <c r="AH84" i="31"/>
  <c r="AI83" i="31"/>
  <c r="AH83" i="31"/>
  <c r="AI82" i="31"/>
  <c r="AH82" i="31"/>
  <c r="AI72" i="31"/>
  <c r="AH72" i="31"/>
  <c r="AI71" i="31"/>
  <c r="AH71" i="31"/>
  <c r="AI70" i="31"/>
  <c r="AH70" i="31"/>
  <c r="AI69" i="31"/>
  <c r="AH69" i="31"/>
  <c r="AI68" i="31"/>
  <c r="AH68" i="31"/>
  <c r="AI65" i="31"/>
  <c r="AH65" i="31"/>
  <c r="AI64" i="31"/>
  <c r="AH64" i="31"/>
  <c r="AI63" i="31"/>
  <c r="AH63" i="31"/>
  <c r="AI57" i="31"/>
  <c r="AH57" i="31"/>
  <c r="AI54" i="31"/>
  <c r="AH54" i="31"/>
  <c r="AH53" i="31"/>
  <c r="AI50" i="31"/>
  <c r="AH50" i="31"/>
  <c r="AI49" i="31"/>
  <c r="AH49" i="31"/>
  <c r="AI48" i="31"/>
  <c r="AH48" i="31"/>
  <c r="AI47" i="31"/>
  <c r="AH47" i="31"/>
  <c r="AI46" i="31"/>
  <c r="AH46" i="31"/>
  <c r="AJ44" i="31"/>
  <c r="L10" i="29" s="1"/>
  <c r="P10" i="29" s="1"/>
  <c r="AI43" i="31"/>
  <c r="AK41" i="31" s="1"/>
  <c r="AH43" i="31"/>
  <c r="AI41" i="31"/>
  <c r="AH41" i="31"/>
  <c r="AJ41" i="31" s="1"/>
  <c r="AI39" i="31"/>
  <c r="AH39" i="31"/>
  <c r="AI38" i="31"/>
  <c r="AH38" i="31"/>
  <c r="AI37" i="31"/>
  <c r="AK37" i="31" s="1"/>
  <c r="AH37" i="31"/>
  <c r="AH35" i="31"/>
  <c r="AI32" i="31"/>
  <c r="AH29" i="31"/>
  <c r="AH28" i="31"/>
  <c r="AI27" i="31"/>
  <c r="AH27" i="31"/>
  <c r="AH26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8" i="31"/>
  <c r="AH8" i="31"/>
  <c r="AI6" i="31"/>
  <c r="AH6" i="31"/>
  <c r="O7" i="29"/>
  <c r="Q16" i="29"/>
  <c r="G12" i="29"/>
  <c r="AK134" i="31" l="1"/>
  <c r="AK82" i="31"/>
  <c r="AJ37" i="31"/>
  <c r="AK44" i="31"/>
  <c r="AJ14" i="31"/>
  <c r="AJ63" i="31"/>
  <c r="L11" i="29" s="1"/>
  <c r="AJ134" i="31"/>
  <c r="AK14" i="31"/>
  <c r="AK63" i="31"/>
  <c r="AH140" i="31"/>
  <c r="AI140" i="31"/>
  <c r="AJ5" i="31"/>
  <c r="AK5" i="31"/>
  <c r="AH9" i="29"/>
  <c r="C7" i="29"/>
  <c r="K7" i="29" s="1"/>
  <c r="M7" i="29" s="1"/>
  <c r="N7" i="29" s="1"/>
  <c r="AH12" i="29"/>
  <c r="O12" i="29" s="1"/>
  <c r="N12" i="29" l="1"/>
  <c r="P11" i="29"/>
  <c r="AK140" i="31"/>
  <c r="AJ140" i="31"/>
  <c r="C9" i="29"/>
  <c r="K9" i="29" s="1"/>
  <c r="M9" i="29" s="1"/>
  <c r="N9" i="29" s="1"/>
  <c r="O9" i="29"/>
  <c r="E15" i="29"/>
  <c r="AG18" i="29" l="1"/>
  <c r="AF18" i="29"/>
  <c r="AE18" i="29"/>
  <c r="AD18" i="29"/>
  <c r="AC18" i="29"/>
  <c r="AB18" i="29"/>
  <c r="AA18" i="29"/>
  <c r="Z18" i="29"/>
  <c r="Y18" i="29"/>
  <c r="X18" i="29"/>
  <c r="W18" i="29"/>
  <c r="AI16" i="29"/>
  <c r="T16" i="29"/>
  <c r="AI15" i="29"/>
  <c r="AH15" i="29"/>
  <c r="AI14" i="29"/>
  <c r="AH14" i="29"/>
  <c r="O14" i="29" s="1"/>
  <c r="AI13" i="29"/>
  <c r="AH13" i="29"/>
  <c r="AI11" i="29"/>
  <c r="AH11" i="29"/>
  <c r="AI10" i="29"/>
  <c r="AH10" i="29"/>
  <c r="T9" i="29"/>
  <c r="AI8" i="29"/>
  <c r="C8" i="29" s="1"/>
  <c r="K8" i="29" s="1"/>
  <c r="M8" i="29" s="1"/>
  <c r="N8" i="29" s="1"/>
  <c r="AH8" i="29"/>
  <c r="O8" i="29" s="1"/>
  <c r="AI7" i="29"/>
  <c r="T7" i="29"/>
  <c r="AI6" i="29"/>
  <c r="G6" i="29" s="1"/>
  <c r="AH6" i="29"/>
  <c r="AI5" i="29"/>
  <c r="AH5" i="29"/>
  <c r="O5" i="29" s="1"/>
  <c r="G5" i="29" l="1"/>
  <c r="G7" i="29"/>
  <c r="G10" i="29"/>
  <c r="G11" i="29"/>
  <c r="T8" i="29"/>
  <c r="C11" i="29"/>
  <c r="K11" i="29" s="1"/>
  <c r="M11" i="29" s="1"/>
  <c r="N11" i="29" s="1"/>
  <c r="O11" i="29"/>
  <c r="T13" i="29"/>
  <c r="O13" i="29"/>
  <c r="T6" i="29"/>
  <c r="O6" i="29"/>
  <c r="T10" i="29"/>
  <c r="O10" i="29"/>
  <c r="T15" i="29"/>
  <c r="Q15" i="29"/>
  <c r="G13" i="29"/>
  <c r="I15" i="29"/>
  <c r="G8" i="29"/>
  <c r="G14" i="29"/>
  <c r="T14" i="29"/>
  <c r="C14" i="29"/>
  <c r="K14" i="29" s="1"/>
  <c r="M14" i="29" s="1"/>
  <c r="N14" i="29" s="1"/>
  <c r="C5" i="29"/>
  <c r="K5" i="29" s="1"/>
  <c r="M5" i="29" s="1"/>
  <c r="N5" i="29" s="1"/>
  <c r="C6" i="29"/>
  <c r="K6" i="29" s="1"/>
  <c r="M6" i="29" s="1"/>
  <c r="N6" i="29" s="1"/>
  <c r="C10" i="29"/>
  <c r="K10" i="29" s="1"/>
  <c r="M10" i="29" s="1"/>
  <c r="N10" i="29" s="1"/>
  <c r="C13" i="29"/>
  <c r="K13" i="29" s="1"/>
  <c r="M13" i="29" s="1"/>
  <c r="AH18" i="29"/>
  <c r="T11" i="29"/>
  <c r="T5" i="29"/>
  <c r="AI104" i="25" l="1"/>
  <c r="AH104" i="25"/>
  <c r="D12" i="29" s="1"/>
  <c r="H12" i="29" s="1"/>
  <c r="I12" i="29" s="1"/>
  <c r="J12" i="29" s="1"/>
  <c r="AG27" i="25"/>
  <c r="AF27" i="25"/>
  <c r="AG45" i="25"/>
  <c r="AF45" i="25"/>
  <c r="E12" i="29" l="1"/>
  <c r="F12" i="29" s="1"/>
  <c r="Q12" i="29"/>
  <c r="AG84" i="25"/>
  <c r="AF84" i="25"/>
  <c r="AG87" i="25"/>
  <c r="AF87" i="25"/>
  <c r="AG89" i="25"/>
  <c r="AG94" i="25"/>
  <c r="AF94" i="25"/>
  <c r="AF22" i="25" l="1"/>
  <c r="AG22" i="25"/>
  <c r="AG15" i="25"/>
  <c r="AF15" i="25"/>
  <c r="AG14" i="25"/>
  <c r="AF14" i="25"/>
  <c r="AG10" i="25"/>
  <c r="AG9" i="25"/>
  <c r="AF10" i="25"/>
  <c r="AF9" i="25"/>
  <c r="AG8" i="25"/>
  <c r="AF8" i="25"/>
  <c r="AG5" i="25"/>
  <c r="AF5" i="25"/>
  <c r="O128" i="25"/>
  <c r="N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M128" i="25"/>
  <c r="L128" i="25"/>
  <c r="K128" i="25"/>
  <c r="J128" i="25"/>
  <c r="I128" i="25"/>
  <c r="H128" i="25"/>
  <c r="G128" i="25"/>
  <c r="F128" i="25"/>
  <c r="E128" i="25"/>
  <c r="D128" i="25"/>
  <c r="AG127" i="25"/>
  <c r="AI127" i="25" s="1"/>
  <c r="AF127" i="25"/>
  <c r="AH127" i="25" s="1"/>
  <c r="AG126" i="25"/>
  <c r="AI126" i="25" s="1"/>
  <c r="AF126" i="25"/>
  <c r="AH126" i="25" s="1"/>
  <c r="AG125" i="25"/>
  <c r="AI125" i="25" s="1"/>
  <c r="AF125" i="25"/>
  <c r="AH125" i="25" s="1"/>
  <c r="AG124" i="25"/>
  <c r="AI124" i="25" s="1"/>
  <c r="AF124" i="25"/>
  <c r="AH124" i="25" s="1"/>
  <c r="H14" i="29" s="1"/>
  <c r="I14" i="29" s="1"/>
  <c r="J14" i="29" s="1"/>
  <c r="AG123" i="25"/>
  <c r="AF123" i="25"/>
  <c r="AG122" i="25"/>
  <c r="AF122" i="25"/>
  <c r="AF98" i="25"/>
  <c r="AG95" i="25"/>
  <c r="AG92" i="25"/>
  <c r="AF92" i="25"/>
  <c r="AG91" i="25"/>
  <c r="AF91" i="25"/>
  <c r="AG90" i="25"/>
  <c r="AF90" i="25"/>
  <c r="AF89" i="25"/>
  <c r="AG88" i="25"/>
  <c r="AF88" i="25"/>
  <c r="AG86" i="25"/>
  <c r="AF86" i="25"/>
  <c r="AG85" i="25"/>
  <c r="AF85" i="25"/>
  <c r="AG83" i="25"/>
  <c r="AF83" i="25"/>
  <c r="AG82" i="25"/>
  <c r="AF82" i="25"/>
  <c r="AG72" i="25"/>
  <c r="AF72" i="25"/>
  <c r="AG71" i="25"/>
  <c r="AF71" i="25"/>
  <c r="AG70" i="25"/>
  <c r="AF70" i="25"/>
  <c r="AG69" i="25"/>
  <c r="AF69" i="25"/>
  <c r="AG68" i="25"/>
  <c r="AF68" i="25"/>
  <c r="AG67" i="25"/>
  <c r="AF67" i="25"/>
  <c r="AG66" i="25"/>
  <c r="AF66" i="25"/>
  <c r="AG65" i="25"/>
  <c r="AF65" i="25"/>
  <c r="AG64" i="25"/>
  <c r="AF64" i="25"/>
  <c r="AG63" i="25"/>
  <c r="AF63" i="25"/>
  <c r="AG57" i="25"/>
  <c r="AF57" i="25"/>
  <c r="AG54" i="25"/>
  <c r="AF54" i="25"/>
  <c r="AF53" i="25"/>
  <c r="AF52" i="25"/>
  <c r="AG50" i="25"/>
  <c r="AF50" i="25"/>
  <c r="AG49" i="25"/>
  <c r="AF49" i="25"/>
  <c r="AG48" i="25"/>
  <c r="AF48" i="25"/>
  <c r="AG47" i="25"/>
  <c r="AF47" i="25"/>
  <c r="AG46" i="25"/>
  <c r="AF46" i="25"/>
  <c r="AG43" i="25"/>
  <c r="AI41" i="25" s="1"/>
  <c r="AF43" i="25"/>
  <c r="AG41" i="25"/>
  <c r="AF41" i="25"/>
  <c r="AG39" i="25"/>
  <c r="AF39" i="25"/>
  <c r="AG38" i="25"/>
  <c r="AF38" i="25"/>
  <c r="AG37" i="25"/>
  <c r="AF37" i="25"/>
  <c r="AF35" i="25"/>
  <c r="AG32" i="25"/>
  <c r="AF29" i="25"/>
  <c r="AG28" i="25"/>
  <c r="AF28" i="25"/>
  <c r="AF26" i="25"/>
  <c r="AG25" i="25"/>
  <c r="AF25" i="25"/>
  <c r="AG24" i="25"/>
  <c r="AF24" i="25"/>
  <c r="AG23" i="25"/>
  <c r="AF23" i="25"/>
  <c r="AG21" i="25"/>
  <c r="AF21" i="25"/>
  <c r="AG20" i="25"/>
  <c r="AF20" i="25"/>
  <c r="AG19" i="25"/>
  <c r="AF19" i="25"/>
  <c r="AG18" i="25"/>
  <c r="AF18" i="25"/>
  <c r="AG17" i="25"/>
  <c r="AF17" i="25"/>
  <c r="AG16" i="25"/>
  <c r="AF16" i="25"/>
  <c r="AG11" i="25"/>
  <c r="AF11" i="25"/>
  <c r="AG7" i="25"/>
  <c r="AF7" i="25"/>
  <c r="AG6" i="25"/>
  <c r="AF6" i="25"/>
  <c r="E14" i="29" l="1"/>
  <c r="F14" i="29" s="1"/>
  <c r="Q14" i="29"/>
  <c r="AH14" i="25"/>
  <c r="AH122" i="25"/>
  <c r="H13" i="29" s="1"/>
  <c r="I13" i="29" s="1"/>
  <c r="AI122" i="25"/>
  <c r="AH37" i="25"/>
  <c r="H7" i="29" s="1"/>
  <c r="I7" i="29" s="1"/>
  <c r="J7" i="29" s="1"/>
  <c r="AH41" i="25"/>
  <c r="H8" i="29" s="1"/>
  <c r="I8" i="29" s="1"/>
  <c r="J8" i="29" s="1"/>
  <c r="AI82" i="25"/>
  <c r="H9" i="29" s="1"/>
  <c r="I9" i="29" s="1"/>
  <c r="J9" i="29" s="1"/>
  <c r="AH5" i="25"/>
  <c r="AI63" i="25"/>
  <c r="AI5" i="25"/>
  <c r="AI37" i="25"/>
  <c r="AH44" i="25"/>
  <c r="AI44" i="25"/>
  <c r="AI14" i="25"/>
  <c r="D6" i="29" s="1"/>
  <c r="H6" i="29" s="1"/>
  <c r="I6" i="29" s="1"/>
  <c r="J6" i="29" s="1"/>
  <c r="AH63" i="25"/>
  <c r="H11" i="29" s="1"/>
  <c r="I11" i="29" s="1"/>
  <c r="J11" i="29" s="1"/>
  <c r="AF128" i="25"/>
  <c r="AG128" i="25"/>
  <c r="D10" i="29" l="1"/>
  <c r="H10" i="29" s="1"/>
  <c r="I10" i="29" s="1"/>
  <c r="J10" i="29" s="1"/>
  <c r="H5" i="29"/>
  <c r="I5" i="29" s="1"/>
  <c r="J5" i="29" s="1"/>
  <c r="Q10" i="29"/>
  <c r="E13" i="29"/>
  <c r="Q13" i="29"/>
  <c r="E8" i="29"/>
  <c r="F8" i="29" s="1"/>
  <c r="Q8" i="29"/>
  <c r="E7" i="29"/>
  <c r="F7" i="29" s="1"/>
  <c r="Q7" i="29"/>
  <c r="E9" i="29"/>
  <c r="F9" i="29" s="1"/>
  <c r="Q9" i="29"/>
  <c r="E5" i="29"/>
  <c r="F5" i="29" s="1"/>
  <c r="E11" i="29"/>
  <c r="F11" i="29" s="1"/>
  <c r="Q11" i="29"/>
  <c r="E6" i="29"/>
  <c r="F6" i="29" s="1"/>
  <c r="Q6" i="29"/>
  <c r="AI128" i="25"/>
  <c r="AH128" i="25"/>
  <c r="E10" i="29" l="1"/>
  <c r="F10" i="29" s="1"/>
  <c r="AE72" i="23"/>
  <c r="AD72" i="23"/>
  <c r="AE102" i="23" l="1"/>
  <c r="AE101" i="23"/>
  <c r="AD102" i="23"/>
  <c r="AD101" i="23"/>
  <c r="AE97" i="23"/>
  <c r="AD97" i="23"/>
  <c r="AE93" i="23"/>
  <c r="AD93" i="23"/>
  <c r="AD95" i="23"/>
  <c r="AE16" i="23"/>
  <c r="AD16" i="23"/>
  <c r="AE15" i="23"/>
  <c r="AD15" i="23"/>
  <c r="AE122" i="23"/>
  <c r="AD122" i="23"/>
  <c r="AE121" i="23"/>
  <c r="AD121" i="23"/>
  <c r="AE120" i="23"/>
  <c r="AD120" i="23"/>
  <c r="AE95" i="23"/>
  <c r="AD6" i="23" l="1"/>
  <c r="AE6" i="23"/>
  <c r="AE5" i="23"/>
  <c r="AD5" i="23"/>
  <c r="AC124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K124" i="23"/>
  <c r="J124" i="23"/>
  <c r="I124" i="23"/>
  <c r="H124" i="23"/>
  <c r="G124" i="23"/>
  <c r="F124" i="23"/>
  <c r="E124" i="23"/>
  <c r="D124" i="23"/>
  <c r="AE123" i="23"/>
  <c r="AG123" i="23" s="1"/>
  <c r="AD123" i="23"/>
  <c r="AF123" i="23" s="1"/>
  <c r="AG122" i="23"/>
  <c r="AF122" i="23"/>
  <c r="AG121" i="23"/>
  <c r="AF121" i="23"/>
  <c r="AG120" i="23"/>
  <c r="AF120" i="23"/>
  <c r="AE119" i="23"/>
  <c r="AD119" i="23"/>
  <c r="AE118" i="23"/>
  <c r="AD118" i="23"/>
  <c r="AE117" i="23"/>
  <c r="AD117" i="23"/>
  <c r="AE116" i="23"/>
  <c r="AE115" i="23"/>
  <c r="AD115" i="23"/>
  <c r="AD109" i="23"/>
  <c r="AE108" i="23"/>
  <c r="AE98" i="23"/>
  <c r="AD98" i="23"/>
  <c r="AE96" i="23"/>
  <c r="AD96" i="23"/>
  <c r="AE81" i="23"/>
  <c r="AD81" i="23"/>
  <c r="AE76" i="23"/>
  <c r="AD76" i="23"/>
  <c r="AE80" i="23"/>
  <c r="AD80" i="23"/>
  <c r="AE82" i="23"/>
  <c r="AD82" i="23"/>
  <c r="AE79" i="23"/>
  <c r="AD79" i="23"/>
  <c r="AE75" i="23"/>
  <c r="AD75" i="23"/>
  <c r="AE74" i="23"/>
  <c r="AD74" i="23"/>
  <c r="AE73" i="23"/>
  <c r="AD73" i="23"/>
  <c r="AE78" i="23"/>
  <c r="AD78" i="23"/>
  <c r="AE60" i="23"/>
  <c r="AD60" i="23"/>
  <c r="AE59" i="23"/>
  <c r="AD59" i="23"/>
  <c r="AE58" i="23"/>
  <c r="AD58" i="23"/>
  <c r="AE57" i="23"/>
  <c r="AD57" i="23"/>
  <c r="AE56" i="23"/>
  <c r="AD56" i="23"/>
  <c r="AE55" i="23"/>
  <c r="AD55" i="23"/>
  <c r="AE54" i="23"/>
  <c r="AD54" i="23"/>
  <c r="AE52" i="23"/>
  <c r="AD52" i="23"/>
  <c r="AE51" i="23"/>
  <c r="AD51" i="23"/>
  <c r="AE50" i="23"/>
  <c r="AG48" i="23" s="1"/>
  <c r="AD50" i="23"/>
  <c r="AE48" i="23"/>
  <c r="AD48" i="23"/>
  <c r="AD46" i="23"/>
  <c r="AE44" i="23"/>
  <c r="AD44" i="23"/>
  <c r="AE43" i="23"/>
  <c r="AD43" i="23"/>
  <c r="AE42" i="23"/>
  <c r="AD42" i="23"/>
  <c r="AE41" i="23"/>
  <c r="AD41" i="23"/>
  <c r="AE40" i="23"/>
  <c r="AD40" i="23"/>
  <c r="AE39" i="23"/>
  <c r="AD39" i="23"/>
  <c r="AD36" i="23"/>
  <c r="AE35" i="23"/>
  <c r="AD35" i="23"/>
  <c r="AE33" i="23"/>
  <c r="AD33" i="23"/>
  <c r="AD32" i="23"/>
  <c r="AE31" i="23"/>
  <c r="AE29" i="23"/>
  <c r="AD26" i="23"/>
  <c r="AE25" i="23"/>
  <c r="AD25" i="23"/>
  <c r="AE24" i="23"/>
  <c r="AD24" i="23"/>
  <c r="AE23" i="23"/>
  <c r="AD23" i="23"/>
  <c r="AE22" i="23"/>
  <c r="AD22" i="23"/>
  <c r="AE21" i="23"/>
  <c r="AD21" i="23"/>
  <c r="AE20" i="23"/>
  <c r="AD20" i="23"/>
  <c r="AE19" i="23"/>
  <c r="AD19" i="23"/>
  <c r="AE18" i="23"/>
  <c r="AD18" i="23"/>
  <c r="AE17" i="23"/>
  <c r="AD17" i="23"/>
  <c r="AE14" i="23"/>
  <c r="AD14" i="23"/>
  <c r="AE12" i="23"/>
  <c r="AD12" i="23"/>
  <c r="AE11" i="23"/>
  <c r="AD11" i="23"/>
  <c r="AE10" i="23"/>
  <c r="AD10" i="23"/>
  <c r="AD9" i="23"/>
  <c r="AE8" i="23"/>
  <c r="AD8" i="23"/>
  <c r="AD7" i="23"/>
  <c r="AG72" i="23" l="1"/>
  <c r="AF72" i="23"/>
  <c r="AG15" i="23"/>
  <c r="AF42" i="23"/>
  <c r="AG118" i="23"/>
  <c r="AG93" i="23"/>
  <c r="AG42" i="23"/>
  <c r="AF118" i="23"/>
  <c r="AF51" i="23"/>
  <c r="AD124" i="23"/>
  <c r="AF93" i="23"/>
  <c r="AF48" i="23"/>
  <c r="AF15" i="23"/>
  <c r="AE124" i="23"/>
  <c r="AF5" i="23"/>
  <c r="AG51" i="23"/>
  <c r="AG5" i="23"/>
  <c r="AG124" i="23" l="1"/>
  <c r="AF124" i="23"/>
  <c r="Q5" i="29"/>
</calcChain>
</file>

<file path=xl/sharedStrings.xml><?xml version="1.0" encoding="utf-8"?>
<sst xmlns="http://schemas.openxmlformats.org/spreadsheetml/2006/main" count="880" uniqueCount="472">
  <si>
    <t>商業概論</t>
    <phoneticPr fontId="2" type="noConversion"/>
  </si>
  <si>
    <r>
      <t>科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目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名</t>
    </r>
    <r>
      <rPr>
        <sz val="12"/>
        <rFont val="Arial"/>
        <family val="2"/>
      </rPr>
      <t xml:space="preserve">  </t>
    </r>
    <r>
      <rPr>
        <sz val="12"/>
        <rFont val="新細明體"/>
        <family val="1"/>
        <charset val="136"/>
      </rPr>
      <t>稱</t>
    </r>
    <phoneticPr fontId="2" type="noConversion"/>
  </si>
  <si>
    <r>
      <t>三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年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級</t>
    </r>
    <phoneticPr fontId="2" type="noConversion"/>
  </si>
  <si>
    <t>小
計</t>
    <phoneticPr fontId="2" type="noConversion"/>
  </si>
  <si>
    <t>英文</t>
    <phoneticPr fontId="2" type="noConversion"/>
  </si>
  <si>
    <r>
      <t>小</t>
    </r>
    <r>
      <rPr>
        <sz val="12"/>
        <rFont val="Arial"/>
        <family val="2"/>
      </rPr>
      <t xml:space="preserve">                        </t>
    </r>
    <r>
      <rPr>
        <sz val="12"/>
        <rFont val="新細明體"/>
        <family val="1"/>
        <charset val="136"/>
      </rPr>
      <t>計</t>
    </r>
    <phoneticPr fontId="2" type="noConversion"/>
  </si>
  <si>
    <t>資處科</t>
    <phoneticPr fontId="2" type="noConversion"/>
  </si>
  <si>
    <t>會計科</t>
    <phoneticPr fontId="2" type="noConversion"/>
  </si>
  <si>
    <t>商經科</t>
    <phoneticPr fontId="2" type="noConversion"/>
  </si>
  <si>
    <t>公民與社會</t>
  </si>
  <si>
    <t>教學
領域</t>
    <phoneticPr fontId="2" type="noConversion"/>
  </si>
  <si>
    <t>商經</t>
    <phoneticPr fontId="2" type="noConversion"/>
  </si>
  <si>
    <t>歷史</t>
    <phoneticPr fontId="2" type="noConversion"/>
  </si>
  <si>
    <t>地理</t>
    <phoneticPr fontId="2" type="noConversion"/>
  </si>
  <si>
    <t>基礎英文閱讀與寫作</t>
    <phoneticPr fontId="2" type="noConversion"/>
  </si>
  <si>
    <t>趣味英文閱讀</t>
    <phoneticPr fontId="2" type="noConversion"/>
  </si>
  <si>
    <t>數學</t>
    <phoneticPr fontId="2" type="noConversion"/>
  </si>
  <si>
    <r>
      <t>體</t>
    </r>
    <r>
      <rPr>
        <sz val="12"/>
        <rFont val="Arial"/>
        <family val="2"/>
      </rPr>
      <t xml:space="preserve">  </t>
    </r>
    <r>
      <rPr>
        <sz val="12"/>
        <rFont val="新細明體"/>
        <family val="1"/>
        <charset val="136"/>
      </rPr>
      <t>育</t>
    </r>
    <phoneticPr fontId="2" type="noConversion"/>
  </si>
  <si>
    <t>健康與護理</t>
    <phoneticPr fontId="2" type="noConversion"/>
  </si>
  <si>
    <t>全民國防教育</t>
    <phoneticPr fontId="2" type="noConversion"/>
  </si>
  <si>
    <r>
      <t>國文</t>
    </r>
    <r>
      <rPr>
        <sz val="13"/>
        <rFont val="Arial"/>
        <family val="2"/>
      </rPr>
      <t xml:space="preserve">/ </t>
    </r>
    <r>
      <rPr>
        <sz val="13"/>
        <rFont val="新細明體"/>
        <family val="1"/>
        <charset val="136"/>
      </rPr>
      <t>社會</t>
    </r>
    <phoneticPr fontId="2" type="noConversion"/>
  </si>
  <si>
    <r>
      <t>數學</t>
    </r>
    <r>
      <rPr>
        <sz val="13"/>
        <rFont val="Arial"/>
        <family val="2"/>
      </rPr>
      <t>/</t>
    </r>
    <r>
      <rPr>
        <sz val="13"/>
        <rFont val="新細明體"/>
        <family val="1"/>
        <charset val="136"/>
      </rPr>
      <t>自然</t>
    </r>
    <phoneticPr fontId="2" type="noConversion"/>
  </si>
  <si>
    <t>資處</t>
    <phoneticPr fontId="2" type="noConversion"/>
  </si>
  <si>
    <t>藝能</t>
    <phoneticPr fontId="2" type="noConversion"/>
  </si>
  <si>
    <t>上</t>
    <phoneticPr fontId="2" type="noConversion"/>
  </si>
  <si>
    <t>下</t>
    <phoneticPr fontId="2" type="noConversion"/>
  </si>
  <si>
    <r>
      <t>各領域
總</t>
    </r>
    <r>
      <rPr>
        <sz val="12"/>
        <rFont val="Arial"/>
        <family val="2"/>
      </rPr>
      <t xml:space="preserve">  </t>
    </r>
    <r>
      <rPr>
        <sz val="12"/>
        <rFont val="新細明體"/>
        <family val="1"/>
        <charset val="136"/>
      </rPr>
      <t>計</t>
    </r>
    <phoneticPr fontId="2" type="noConversion"/>
  </si>
  <si>
    <t>應外科</t>
    <phoneticPr fontId="2" type="noConversion"/>
  </si>
  <si>
    <t>學年度</t>
    <phoneticPr fontId="2" type="noConversion"/>
  </si>
  <si>
    <t>需求
節數</t>
    <phoneticPr fontId="2" type="noConversion"/>
  </si>
  <si>
    <t>職稱</t>
    <phoneticPr fontId="2" type="noConversion"/>
  </si>
  <si>
    <t>主任</t>
    <phoneticPr fontId="2" type="noConversion"/>
  </si>
  <si>
    <t>組長</t>
    <phoneticPr fontId="2" type="noConversion"/>
  </si>
  <si>
    <t>科主任</t>
    <phoneticPr fontId="2" type="noConversion"/>
  </si>
  <si>
    <t>專任</t>
    <phoneticPr fontId="2" type="noConversion"/>
  </si>
  <si>
    <t>基本授課
時數</t>
    <phoneticPr fontId="2" type="noConversion"/>
  </si>
  <si>
    <t>基本
時數</t>
    <phoneticPr fontId="2" type="noConversion"/>
  </si>
  <si>
    <r>
      <t>國文</t>
    </r>
    <r>
      <rPr>
        <sz val="16"/>
        <rFont val="Arial"/>
        <family val="2"/>
      </rPr>
      <t xml:space="preserve">/
 </t>
    </r>
    <r>
      <rPr>
        <sz val="16"/>
        <rFont val="標楷體"/>
        <family val="4"/>
        <charset val="136"/>
      </rPr>
      <t>社會領域</t>
    </r>
    <phoneticPr fontId="2" type="noConversion"/>
  </si>
  <si>
    <t>各
科
教
師
人
數</t>
    <phoneticPr fontId="2" type="noConversion"/>
  </si>
  <si>
    <t>數學領域</t>
    <phoneticPr fontId="2" type="noConversion"/>
  </si>
  <si>
    <t>自然領域</t>
    <phoneticPr fontId="2" type="noConversion"/>
  </si>
  <si>
    <r>
      <t>藝術生活</t>
    </r>
    <r>
      <rPr>
        <sz val="16"/>
        <rFont val="Arial"/>
        <family val="2"/>
      </rPr>
      <t xml:space="preserve">/
   </t>
    </r>
    <r>
      <rPr>
        <sz val="16"/>
        <rFont val="標楷體"/>
        <family val="4"/>
        <charset val="136"/>
      </rPr>
      <t>美術</t>
    </r>
    <phoneticPr fontId="2" type="noConversion"/>
  </si>
  <si>
    <r>
      <t>體</t>
    </r>
    <r>
      <rPr>
        <sz val="16"/>
        <rFont val="Arial"/>
        <family val="2"/>
      </rPr>
      <t xml:space="preserve">  </t>
    </r>
    <r>
      <rPr>
        <sz val="16"/>
        <rFont val="標楷體"/>
        <family val="4"/>
        <charset val="136"/>
      </rPr>
      <t>育</t>
    </r>
    <phoneticPr fontId="2" type="noConversion"/>
  </si>
  <si>
    <t>會計實務</t>
    <phoneticPr fontId="2" type="noConversion"/>
  </si>
  <si>
    <t>經濟學</t>
    <phoneticPr fontId="2" type="noConversion"/>
  </si>
  <si>
    <t>生涯規劃</t>
    <phoneticPr fontId="2" type="noConversion"/>
  </si>
  <si>
    <t>人員合
計</t>
    <phoneticPr fontId="2" type="noConversion"/>
  </si>
  <si>
    <t>教學領域</t>
    <phoneticPr fontId="2" type="noConversion"/>
  </si>
  <si>
    <t>含：資源教室業務及導師</t>
    <phoneticPr fontId="2" type="noConversion"/>
  </si>
  <si>
    <t>新聞英文導讀</t>
    <phoneticPr fontId="2" type="noConversion"/>
  </si>
  <si>
    <t>導師/資源教室業務/召集人</t>
    <phoneticPr fontId="2" type="noConversion"/>
  </si>
  <si>
    <t>會計</t>
    <phoneticPr fontId="2" type="noConversion"/>
  </si>
  <si>
    <t>國語文</t>
    <phoneticPr fontId="2" type="noConversion"/>
  </si>
  <si>
    <t>物理</t>
    <phoneticPr fontId="2" type="noConversion"/>
  </si>
  <si>
    <t>美術</t>
    <phoneticPr fontId="2" type="noConversion"/>
  </si>
  <si>
    <t>藝術生活</t>
    <phoneticPr fontId="2" type="noConversion"/>
  </si>
  <si>
    <t>資訊科技</t>
    <phoneticPr fontId="2" type="noConversion"/>
  </si>
  <si>
    <t>數位科技概論</t>
    <phoneticPr fontId="2" type="noConversion"/>
  </si>
  <si>
    <t>門市經營實務</t>
    <phoneticPr fontId="2" type="noConversion"/>
  </si>
  <si>
    <t>初階英語聽講練習</t>
    <phoneticPr fontId="2" type="noConversion"/>
  </si>
  <si>
    <t>初階英文閱讀與寫作練習</t>
    <phoneticPr fontId="2" type="noConversion"/>
  </si>
  <si>
    <t>會計學</t>
    <phoneticPr fontId="2" type="noConversion"/>
  </si>
  <si>
    <t>英語文</t>
    <phoneticPr fontId="2" type="noConversion"/>
  </si>
  <si>
    <t>數位文件製作</t>
    <phoneticPr fontId="2" type="noConversion"/>
  </si>
  <si>
    <t>行銷實務</t>
    <phoneticPr fontId="2" type="noConversion"/>
  </si>
  <si>
    <t>會計軟體應用</t>
    <phoneticPr fontId="2" type="noConversion"/>
  </si>
  <si>
    <t>程式語言與設計</t>
    <phoneticPr fontId="2" type="noConversion"/>
  </si>
  <si>
    <t>英文商業書信寫作</t>
    <phoneticPr fontId="2" type="noConversion"/>
  </si>
  <si>
    <t>生活英語會話</t>
    <phoneticPr fontId="2" type="noConversion"/>
  </si>
  <si>
    <t>理財生活</t>
    <phoneticPr fontId="2" type="noConversion"/>
  </si>
  <si>
    <t>古典文學選讀</t>
    <phoneticPr fontId="2" type="noConversion"/>
  </si>
  <si>
    <t>記帳實作</t>
    <phoneticPr fontId="2" type="noConversion"/>
  </si>
  <si>
    <t>數位科技應用</t>
    <phoneticPr fontId="2" type="noConversion"/>
  </si>
  <si>
    <t>現代詩文賞析</t>
    <phoneticPr fontId="2" type="noConversion"/>
  </si>
  <si>
    <t>商業溝通</t>
    <phoneticPr fontId="2" type="noConversion"/>
  </si>
  <si>
    <t>金融與證券投資實務</t>
    <phoneticPr fontId="2" type="noConversion"/>
  </si>
  <si>
    <t>數學應用</t>
    <phoneticPr fontId="2" type="noConversion"/>
  </si>
  <si>
    <t>中國小說選</t>
    <phoneticPr fontId="2" type="noConversion"/>
  </si>
  <si>
    <t>會計實作</t>
    <phoneticPr fontId="2" type="noConversion"/>
  </si>
  <si>
    <t>商業經營管理</t>
    <phoneticPr fontId="2" type="noConversion"/>
  </si>
  <si>
    <t>中階英語聽講練習</t>
    <phoneticPr fontId="2" type="noConversion"/>
  </si>
  <si>
    <t>中階英文閱讀與寫作練習</t>
    <phoneticPr fontId="2" type="noConversion"/>
  </si>
  <si>
    <t>外語簡報實務</t>
    <phoneticPr fontId="2" type="noConversion"/>
  </si>
  <si>
    <t>經濟學初階</t>
    <phoneticPr fontId="2" type="noConversion"/>
  </si>
  <si>
    <t>英美文學作品賞析</t>
    <phoneticPr fontId="2" type="noConversion"/>
  </si>
  <si>
    <t>商用會計初階</t>
    <phoneticPr fontId="2" type="noConversion"/>
  </si>
  <si>
    <t>專題製作(應外科)</t>
    <phoneticPr fontId="2" type="noConversion"/>
  </si>
  <si>
    <t>專題製作(商經科)</t>
    <phoneticPr fontId="2" type="noConversion"/>
  </si>
  <si>
    <t>專題製作(會計科)</t>
    <phoneticPr fontId="2" type="noConversion"/>
  </si>
  <si>
    <t>專題實作(資處科)</t>
    <phoneticPr fontId="2" type="noConversion"/>
  </si>
  <si>
    <r>
      <t>108</t>
    </r>
    <r>
      <rPr>
        <sz val="16"/>
        <rFont val="標楷體"/>
        <family val="4"/>
        <charset val="136"/>
      </rPr>
      <t>學年度
節</t>
    </r>
    <r>
      <rPr>
        <sz val="16"/>
        <rFont val="Times New Roman"/>
        <family val="1"/>
      </rPr>
      <t>/</t>
    </r>
    <r>
      <rPr>
        <sz val="16"/>
        <rFont val="標楷體"/>
        <family val="4"/>
        <charset val="136"/>
      </rPr>
      <t>人</t>
    </r>
    <phoneticPr fontId="2" type="noConversion"/>
  </si>
  <si>
    <t>外語文書處理實務</t>
    <phoneticPr fontId="2" type="noConversion"/>
  </si>
  <si>
    <r>
      <t>二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年</t>
    </r>
    <r>
      <rPr>
        <sz val="12"/>
        <rFont val="Arial"/>
        <family val="2"/>
      </rPr>
      <t xml:space="preserve">   </t>
    </r>
    <r>
      <rPr>
        <sz val="12"/>
        <rFont val="新細明體"/>
        <family val="1"/>
        <charset val="136"/>
      </rPr>
      <t>級</t>
    </r>
    <phoneticPr fontId="2" type="noConversion"/>
  </si>
  <si>
    <t>一   年   級</t>
    <phoneticPr fontId="2" type="noConversion"/>
  </si>
  <si>
    <t>經濟學進階</t>
    <phoneticPr fontId="2" type="noConversion"/>
  </si>
  <si>
    <t>資料庫應用</t>
    <phoneticPr fontId="2" type="noConversion"/>
  </si>
  <si>
    <t>運算思維</t>
    <phoneticPr fontId="2" type="noConversion"/>
  </si>
  <si>
    <t>高階英語聽講練習</t>
    <phoneticPr fontId="2" type="noConversion"/>
  </si>
  <si>
    <t>高階英文閱讀與寫作練習</t>
    <phoneticPr fontId="2" type="noConversion"/>
  </si>
  <si>
    <t>商用會計進階</t>
    <phoneticPr fontId="2" type="noConversion"/>
  </si>
  <si>
    <t>平均兼課節數</t>
    <phoneticPr fontId="2" type="noConversion"/>
  </si>
  <si>
    <t>健康與護理/
生涯規劃</t>
    <phoneticPr fontId="2" type="noConversion"/>
  </si>
  <si>
    <r>
      <t>109</t>
    </r>
    <r>
      <rPr>
        <sz val="16"/>
        <rFont val="標楷體"/>
        <family val="4"/>
        <charset val="136"/>
      </rPr>
      <t>學年度
節</t>
    </r>
    <r>
      <rPr>
        <sz val="16"/>
        <rFont val="Times New Roman"/>
        <family val="1"/>
      </rPr>
      <t>/</t>
    </r>
    <r>
      <rPr>
        <sz val="16"/>
        <rFont val="標楷體"/>
        <family val="4"/>
        <charset val="136"/>
      </rPr>
      <t>人</t>
    </r>
    <phoneticPr fontId="2" type="noConversion"/>
  </si>
  <si>
    <r>
      <t>110</t>
    </r>
    <r>
      <rPr>
        <sz val="16"/>
        <rFont val="標楷體"/>
        <family val="4"/>
        <charset val="136"/>
      </rPr>
      <t>學年度
節</t>
    </r>
    <r>
      <rPr>
        <sz val="16"/>
        <rFont val="Times New Roman"/>
        <family val="1"/>
      </rPr>
      <t>/</t>
    </r>
    <r>
      <rPr>
        <sz val="16"/>
        <rFont val="標楷體"/>
        <family val="4"/>
        <charset val="136"/>
      </rPr>
      <t>人</t>
    </r>
    <phoneticPr fontId="2" type="noConversion"/>
  </si>
  <si>
    <t>不含代理教師廖婕雅</t>
    <phoneticPr fontId="2" type="noConversion"/>
  </si>
  <si>
    <t>中英文輸入實務</t>
    <phoneticPr fontId="2" type="noConversion"/>
  </si>
  <si>
    <t>策展行銷簡報實作(AF選)3選1</t>
    <phoneticPr fontId="2" type="noConversion"/>
  </si>
  <si>
    <t>程式語言實作(AB選)4選1</t>
    <phoneticPr fontId="2" type="noConversion"/>
  </si>
  <si>
    <t>雲端服務應用(AC選)4選1</t>
    <phoneticPr fontId="2" type="noConversion"/>
  </si>
  <si>
    <t>網頁設計(AD選)4選1</t>
    <phoneticPr fontId="2" type="noConversion"/>
  </si>
  <si>
    <t>物聯網實務(AD選)4選1</t>
    <phoneticPr fontId="2" type="noConversion"/>
  </si>
  <si>
    <t>數位媒體應用(AD選)4選1</t>
    <phoneticPr fontId="2" type="noConversion"/>
  </si>
  <si>
    <t>創客實驗室(AD選)4選1</t>
    <phoneticPr fontId="2" type="noConversion"/>
  </si>
  <si>
    <t>雲端程式設計(AC選)4選1</t>
    <phoneticPr fontId="2" type="noConversion"/>
  </si>
  <si>
    <t>程式設計進階(AC選)4選1</t>
    <phoneticPr fontId="2" type="noConversion"/>
  </si>
  <si>
    <t>App程式開發(AB選)4選1</t>
    <phoneticPr fontId="2" type="noConversion"/>
  </si>
  <si>
    <t>數據分析應用(AB選)4選1</t>
    <phoneticPr fontId="2" type="noConversion"/>
  </si>
  <si>
    <t>多媒體製作與應用</t>
    <phoneticPr fontId="2" type="noConversion"/>
  </si>
  <si>
    <t>文書進階應用(AB選)4選1</t>
    <phoneticPr fontId="2" type="noConversion"/>
  </si>
  <si>
    <t>文書進階應用(AF選)3選1</t>
    <phoneticPr fontId="2" type="noConversion"/>
  </si>
  <si>
    <t>企業名人賞析(AJ選)2選1</t>
    <phoneticPr fontId="2" type="noConversion"/>
  </si>
  <si>
    <t>金融實務(AJ選)2選1</t>
    <phoneticPr fontId="2" type="noConversion"/>
  </si>
  <si>
    <t>理財桌游(AH選)3選1</t>
    <phoneticPr fontId="2" type="noConversion"/>
  </si>
  <si>
    <t>會計資訊分析應用(AH選)3選1</t>
    <phoneticPr fontId="2" type="noConversion"/>
  </si>
  <si>
    <t>文書進階應用(AH選)3選1</t>
    <phoneticPr fontId="2" type="noConversion"/>
  </si>
  <si>
    <t>租稅申報實務(AI選)2選1</t>
    <phoneticPr fontId="2" type="noConversion"/>
  </si>
  <si>
    <t>財務報表分析(AI選)2選1</t>
    <phoneticPr fontId="2" type="noConversion"/>
  </si>
  <si>
    <t>財經新聞導讀(AN選)5選1</t>
    <phoneticPr fontId="2" type="noConversion"/>
  </si>
  <si>
    <t>實用英文表達(AN選)5選1</t>
    <phoneticPr fontId="2" type="noConversion"/>
  </si>
  <si>
    <t>繪本製作(AK選)3選1</t>
    <phoneticPr fontId="2" type="noConversion"/>
  </si>
  <si>
    <t>英語桌遊(AK選)3選1</t>
    <phoneticPr fontId="2" type="noConversion"/>
  </si>
  <si>
    <t>英語電影欣賞與討論(AK選)3選1</t>
    <phoneticPr fontId="2" type="noConversion"/>
  </si>
  <si>
    <t>英語導覽(AM選)2選1</t>
    <phoneticPr fontId="2" type="noConversion"/>
  </si>
  <si>
    <t>英語多媒體口說練習(AM選)2選1</t>
    <phoneticPr fontId="2" type="noConversion"/>
  </si>
  <si>
    <t>金融證券與投資實務</t>
    <phoneticPr fontId="2" type="noConversion"/>
  </si>
  <si>
    <t>化學</t>
    <phoneticPr fontId="2" type="noConversion"/>
  </si>
  <si>
    <t>生物</t>
    <phoneticPr fontId="2" type="noConversion"/>
  </si>
  <si>
    <t>觀光餐旅英語(AG選)2選1</t>
    <phoneticPr fontId="2" type="noConversion"/>
  </si>
  <si>
    <t>英語導覽(AG選)2選1</t>
    <phoneticPr fontId="2" type="noConversion"/>
  </si>
  <si>
    <t>紅樓夢飲食文化(AG選) 4選1</t>
    <phoneticPr fontId="2" type="noConversion"/>
  </si>
  <si>
    <t>閱讀趨勢理解時尚(AN選) 5選1</t>
    <phoneticPr fontId="2" type="noConversion"/>
  </si>
  <si>
    <t>趣味數學與遊戲(AG選) 4選1</t>
    <phoneticPr fontId="2" type="noConversion"/>
  </si>
  <si>
    <t>趣味數學與遊戲(AN選) 5選1</t>
    <phoneticPr fontId="2" type="noConversion"/>
  </si>
  <si>
    <t>策展行銷簡報實作(AN選)5選1</t>
    <phoneticPr fontId="2" type="noConversion"/>
  </si>
  <si>
    <t>中英翻譯練習(AL選)2選1</t>
    <phoneticPr fontId="2" type="noConversion"/>
  </si>
  <si>
    <t>觀光餐旅英語(AL選)2選1</t>
    <phoneticPr fontId="2" type="noConversion"/>
  </si>
  <si>
    <t>團體活動</t>
    <phoneticPr fontId="2" type="noConversion"/>
  </si>
  <si>
    <t>總節數</t>
    <phoneticPr fontId="2" type="noConversion"/>
  </si>
  <si>
    <t>國學萬花筒(彈性補強)</t>
    <phoneticPr fontId="2" type="noConversion"/>
  </si>
  <si>
    <t>彈性課程補強</t>
    <phoneticPr fontId="2" type="noConversion"/>
  </si>
  <si>
    <t>彈性課程增廣</t>
    <phoneticPr fontId="2" type="noConversion"/>
  </si>
  <si>
    <t>英文(彈性補強)</t>
    <phoneticPr fontId="2" type="noConversion"/>
  </si>
  <si>
    <t>數學加油站(彈性補強)</t>
    <phoneticPr fontId="2" type="noConversion"/>
  </si>
  <si>
    <t>會計(彈性補強)</t>
    <phoneticPr fontId="2" type="noConversion"/>
  </si>
  <si>
    <t>商經(彈性補強)</t>
    <phoneticPr fontId="2" type="noConversion"/>
  </si>
  <si>
    <t>資處(彈性補強)</t>
    <phoneticPr fontId="2" type="noConversion"/>
  </si>
  <si>
    <t>數位科技實務</t>
    <phoneticPr fontId="2" type="noConversion"/>
  </si>
  <si>
    <t>數學演習(移至高三)</t>
    <phoneticPr fontId="2" type="noConversion"/>
  </si>
  <si>
    <t>多媒科</t>
    <phoneticPr fontId="2" type="noConversion"/>
  </si>
  <si>
    <t>下</t>
    <phoneticPr fontId="2" type="noConversion"/>
  </si>
  <si>
    <t>上</t>
    <phoneticPr fontId="2" type="noConversion"/>
  </si>
  <si>
    <r>
      <t>112</t>
    </r>
    <r>
      <rPr>
        <sz val="20"/>
        <rFont val="新細明體"/>
        <family val="1"/>
        <charset val="136"/>
      </rPr>
      <t>學年度本校課程節數一覽表</t>
    </r>
    <r>
      <rPr>
        <sz val="20"/>
        <rFont val="Times New Roman"/>
        <family val="1"/>
      </rPr>
      <t>--</t>
    </r>
    <r>
      <rPr>
        <sz val="20"/>
        <color indexed="10"/>
        <rFont val="新細明體"/>
        <family val="1"/>
        <charset val="136"/>
      </rPr>
      <t>日校</t>
    </r>
    <phoneticPr fontId="2" type="noConversion"/>
  </si>
  <si>
    <t>電腦打字實務(必)</t>
    <phoneticPr fontId="2" type="noConversion"/>
  </si>
  <si>
    <t>策展行銷簡報實作(AE選)3選1</t>
    <phoneticPr fontId="2" type="noConversion"/>
  </si>
  <si>
    <t>商業簡報實作(AE選)3選1</t>
    <phoneticPr fontId="2" type="noConversion"/>
  </si>
  <si>
    <t>新增，(AE選)</t>
    <phoneticPr fontId="2" type="noConversion"/>
  </si>
  <si>
    <t>文創商品巧手做(AP選)3選1</t>
    <phoneticPr fontId="2" type="noConversion"/>
  </si>
  <si>
    <t>簡報進階應用(AP選)3選1</t>
    <phoneticPr fontId="2" type="noConversion"/>
  </si>
  <si>
    <t>創意企劃(AN選)2選1</t>
    <phoneticPr fontId="2" type="noConversion"/>
  </si>
  <si>
    <t>銷售實務(AN選)2選1</t>
    <phoneticPr fontId="2" type="noConversion"/>
  </si>
  <si>
    <t>財經新聞導讀(AO選)2選1</t>
    <phoneticPr fontId="2" type="noConversion"/>
  </si>
  <si>
    <t>商業禮儀(AO選)2選1</t>
    <phoneticPr fontId="2" type="noConversion"/>
  </si>
  <si>
    <t>尚未確定是否幫忙上資科的商業溝通，故先不列入</t>
    <phoneticPr fontId="2" type="noConversion"/>
  </si>
  <si>
    <t>要刪除，此為會科的課</t>
    <phoneticPr fontId="2" type="noConversion"/>
  </si>
  <si>
    <r>
      <rPr>
        <sz val="12"/>
        <color theme="5" tint="-0.499984740745262"/>
        <rFont val="細明體"/>
        <family val="3"/>
        <charset val="136"/>
      </rPr>
      <t>備註</t>
    </r>
    <r>
      <rPr>
        <sz val="12"/>
        <color theme="5" tint="-0.499984740745262"/>
        <rFont val="Arial"/>
        <family val="2"/>
      </rPr>
      <t>(</t>
    </r>
    <r>
      <rPr>
        <sz val="12"/>
        <color theme="5" tint="-0.499984740745262"/>
        <rFont val="細明體"/>
        <family val="3"/>
        <charset val="136"/>
      </rPr>
      <t>商科修改</t>
    </r>
    <r>
      <rPr>
        <sz val="12"/>
        <color theme="5" tint="-0.499984740745262"/>
        <rFont val="Arial"/>
        <family val="2"/>
      </rPr>
      <t>112</t>
    </r>
    <r>
      <rPr>
        <sz val="12"/>
        <color theme="5" tint="-0.499984740745262"/>
        <rFont val="細明體"/>
        <family val="3"/>
        <charset val="136"/>
      </rPr>
      <t>學年度</t>
    </r>
    <r>
      <rPr>
        <sz val="12"/>
        <color theme="5" tint="-0.499984740745262"/>
        <rFont val="Arial"/>
        <family val="2"/>
      </rPr>
      <t>)</t>
    </r>
    <phoneticPr fontId="2" type="noConversion"/>
  </si>
  <si>
    <r>
      <rPr>
        <sz val="12"/>
        <color theme="5" tint="-0.499984740745262"/>
        <rFont val="細明體"/>
        <family val="3"/>
        <charset val="136"/>
      </rPr>
      <t>班級數資一</t>
    </r>
    <r>
      <rPr>
        <sz val="12"/>
        <color theme="5" tint="-0.499984740745262"/>
        <rFont val="Arial"/>
        <family val="2"/>
      </rPr>
      <t>2</t>
    </r>
    <r>
      <rPr>
        <sz val="12"/>
        <color theme="5" tint="-0.499984740745262"/>
        <rFont val="細明體"/>
        <family val="3"/>
        <charset val="136"/>
      </rPr>
      <t>班</t>
    </r>
    <phoneticPr fontId="2" type="noConversion"/>
  </si>
  <si>
    <r>
      <t>(</t>
    </r>
    <r>
      <rPr>
        <sz val="12"/>
        <color theme="5" tint="-0.499984740745262"/>
        <rFont val="細明體"/>
        <family val="3"/>
        <charset val="136"/>
      </rPr>
      <t>依翠華老師建議排序調整</t>
    </r>
    <r>
      <rPr>
        <sz val="12"/>
        <color theme="5" tint="-0.499984740745262"/>
        <rFont val="Arial"/>
        <family val="2"/>
      </rPr>
      <t>)</t>
    </r>
    <phoneticPr fontId="2" type="noConversion"/>
  </si>
  <si>
    <r>
      <rPr>
        <sz val="12"/>
        <color theme="5" tint="-0.499984740745262"/>
        <rFont val="細明體"/>
        <family val="3"/>
        <charset val="136"/>
      </rPr>
      <t>課程名稱修改，商一</t>
    </r>
    <r>
      <rPr>
        <sz val="12"/>
        <color theme="5" tint="-0.499984740745262"/>
        <rFont val="Arial"/>
        <family val="2"/>
      </rPr>
      <t>2</t>
    </r>
    <r>
      <rPr>
        <sz val="12"/>
        <color theme="5" tint="-0.499984740745262"/>
        <rFont val="細明體"/>
        <family val="3"/>
        <charset val="136"/>
      </rPr>
      <t>班</t>
    </r>
    <phoneticPr fontId="2" type="noConversion"/>
  </si>
  <si>
    <r>
      <t>(AE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)</t>
    </r>
    <phoneticPr fontId="2" type="noConversion"/>
  </si>
  <si>
    <r>
      <t>(AP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)3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1</t>
    </r>
  </si>
  <si>
    <r>
      <t>(AN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)2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1</t>
    </r>
  </si>
  <si>
    <r>
      <rPr>
        <sz val="12"/>
        <color theme="5" tint="-0.499984740745262"/>
        <rFont val="細明體"/>
        <family val="3"/>
        <charset val="136"/>
      </rPr>
      <t>新增，</t>
    </r>
    <r>
      <rPr>
        <sz val="12"/>
        <color theme="5" tint="-0.499984740745262"/>
        <rFont val="Arial"/>
        <family val="2"/>
      </rPr>
      <t>(AO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)2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1</t>
    </r>
    <phoneticPr fontId="2" type="noConversion"/>
  </si>
  <si>
    <r>
      <t>(AO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)2</t>
    </r>
    <r>
      <rPr>
        <sz val="12"/>
        <color theme="5" tint="-0.499984740745262"/>
        <rFont val="細明體"/>
        <family val="3"/>
        <charset val="136"/>
      </rPr>
      <t>選</t>
    </r>
    <r>
      <rPr>
        <sz val="12"/>
        <color theme="5" tint="-0.499984740745262"/>
        <rFont val="Arial"/>
        <family val="2"/>
      </rPr>
      <t>1</t>
    </r>
  </si>
  <si>
    <t>公民與社會</t>
    <phoneticPr fontId="2" type="noConversion"/>
  </si>
  <si>
    <t>電腦打字實務</t>
    <phoneticPr fontId="2" type="noConversion"/>
  </si>
  <si>
    <t>專題實作</t>
    <phoneticPr fontId="2" type="noConversion"/>
  </si>
  <si>
    <t>多媒</t>
    <phoneticPr fontId="2" type="noConversion"/>
  </si>
  <si>
    <t>基本設計實習</t>
    <phoneticPr fontId="2" type="noConversion"/>
  </si>
  <si>
    <t>視覺傳達設計</t>
    <phoneticPr fontId="2" type="noConversion"/>
  </si>
  <si>
    <t>文字造型設計</t>
    <phoneticPr fontId="2" type="noConversion"/>
  </si>
  <si>
    <t>繪畫基礎實習</t>
    <phoneticPr fontId="2" type="noConversion"/>
  </si>
  <si>
    <t>本土語</t>
    <phoneticPr fontId="2" type="noConversion"/>
  </si>
  <si>
    <t>創意企劃(AN選)2選1</t>
    <phoneticPr fontId="2" type="noConversion"/>
  </si>
  <si>
    <t>銷售實務(AN選)2選1</t>
    <phoneticPr fontId="2" type="noConversion"/>
  </si>
  <si>
    <t>財經新聞導讀(AO選)2選1</t>
    <phoneticPr fontId="2" type="noConversion"/>
  </si>
  <si>
    <t>商業禮儀(AO選)2選1</t>
    <phoneticPr fontId="2" type="noConversion"/>
  </si>
  <si>
    <t>文創商品巧手做(AP選)3選1</t>
    <phoneticPr fontId="2" type="noConversion"/>
  </si>
  <si>
    <t>簡報進階應用(AP選)3選1</t>
    <phoneticPr fontId="2" type="noConversion"/>
  </si>
  <si>
    <t>說故事學行銷(AP選) 3選1</t>
    <phoneticPr fontId="2" type="noConversion"/>
  </si>
  <si>
    <t>財經新聞導讀(AM選)會英5選1</t>
    <phoneticPr fontId="2" type="noConversion"/>
  </si>
  <si>
    <t>實用英文表達(AM選)5選1</t>
    <phoneticPr fontId="2" type="noConversion"/>
  </si>
  <si>
    <t>趣味數學與遊戲(AM選) 5選1</t>
    <phoneticPr fontId="2" type="noConversion"/>
  </si>
  <si>
    <t>繪本製作(AJ選)3選1</t>
    <phoneticPr fontId="2" type="noConversion"/>
  </si>
  <si>
    <t>英語電影欣賞與討論(AJ選)3選1</t>
    <phoneticPr fontId="2" type="noConversion"/>
  </si>
  <si>
    <t>英語桌遊(AJ選)3選1</t>
    <phoneticPr fontId="2" type="noConversion"/>
  </si>
  <si>
    <t>多媒科</t>
    <phoneticPr fontId="2" type="noConversion"/>
  </si>
  <si>
    <r>
      <t>113</t>
    </r>
    <r>
      <rPr>
        <sz val="20"/>
        <rFont val="新細明體"/>
        <family val="1"/>
        <charset val="136"/>
      </rPr>
      <t>學年度本校課程節數一覽表</t>
    </r>
    <r>
      <rPr>
        <sz val="20"/>
        <rFont val="Times New Roman"/>
        <family val="1"/>
      </rPr>
      <t>--</t>
    </r>
    <r>
      <rPr>
        <sz val="20"/>
        <color indexed="10"/>
        <rFont val="新細明體"/>
        <family val="1"/>
        <charset val="136"/>
      </rPr>
      <t>日校</t>
    </r>
    <phoneticPr fontId="2" type="noConversion"/>
  </si>
  <si>
    <t>適用課綱：111(高三)、112(高二)、113(高一)</t>
    <phoneticPr fontId="2" type="noConversion"/>
  </si>
  <si>
    <t>商業簡報實作(AE選)9選1</t>
    <phoneticPr fontId="2" type="noConversion"/>
  </si>
  <si>
    <t>策展行銷簡報實作(AE選)9選1</t>
    <phoneticPr fontId="2" type="noConversion"/>
  </si>
  <si>
    <t>會計資訊分析應用(AG選)9選1</t>
    <phoneticPr fontId="2" type="noConversion"/>
  </si>
  <si>
    <t>理財桌遊(AG選)9選1</t>
    <phoneticPr fontId="2" type="noConversion"/>
  </si>
  <si>
    <t>數位媒體應用(AB選)3選1</t>
    <phoneticPr fontId="2" type="noConversion"/>
  </si>
  <si>
    <t>程式語言實作(AB選)3選1</t>
    <phoneticPr fontId="2" type="noConversion"/>
  </si>
  <si>
    <t>App程式開發(AB選)3選1</t>
    <phoneticPr fontId="2" type="noConversion"/>
  </si>
  <si>
    <t>程式設計進階(AC選)3選1</t>
    <phoneticPr fontId="2" type="noConversion"/>
  </si>
  <si>
    <t>雲端服務應用(AC選)3選1</t>
    <phoneticPr fontId="2" type="noConversion"/>
  </si>
  <si>
    <t>網頁設計(AC選)3選1</t>
    <phoneticPr fontId="2" type="noConversion"/>
  </si>
  <si>
    <t>文書進階應用(AG選)9選1</t>
    <phoneticPr fontId="2" type="noConversion"/>
  </si>
  <si>
    <t>物聯網實務(AD選)9選1</t>
    <phoneticPr fontId="2" type="noConversion"/>
  </si>
  <si>
    <t>創客實驗室(AD選)9選1</t>
    <phoneticPr fontId="2" type="noConversion"/>
  </si>
  <si>
    <t>英語多媒體口說練習(AL選)9選1</t>
    <phoneticPr fontId="2" type="noConversion"/>
  </si>
  <si>
    <t>英語導覽(AL選)9選1</t>
    <phoneticPr fontId="2" type="noConversion"/>
  </si>
  <si>
    <t>生活萬萬稅(AM選)會英5選1</t>
    <phoneticPr fontId="2" type="noConversion"/>
  </si>
  <si>
    <t>跨領域趨勢閱讀</t>
    <phoneticPr fontId="2" type="noConversion"/>
  </si>
  <si>
    <t>創意圖文設計</t>
    <phoneticPr fontId="2" type="noConversion"/>
  </si>
  <si>
    <t>設計概論</t>
    <phoneticPr fontId="2" type="noConversion"/>
  </si>
  <si>
    <t>設計與生活美學</t>
    <phoneticPr fontId="2" type="noConversion"/>
  </si>
  <si>
    <t>色彩原理</t>
    <phoneticPr fontId="2" type="noConversion"/>
  </si>
  <si>
    <t>造型原理</t>
    <phoneticPr fontId="2" type="noConversion"/>
  </si>
  <si>
    <t>表現技法實習</t>
    <phoneticPr fontId="2" type="noConversion"/>
  </si>
  <si>
    <t>基礎圖學實習</t>
    <phoneticPr fontId="2" type="noConversion"/>
  </si>
  <si>
    <t>電腦向量繪圖實習</t>
    <phoneticPr fontId="2" type="noConversion"/>
  </si>
  <si>
    <t>數位影像處理實習</t>
    <phoneticPr fontId="2" type="noConversion"/>
  </si>
  <si>
    <t>網頁設計實習</t>
    <phoneticPr fontId="2" type="noConversion"/>
  </si>
  <si>
    <t>動畫製作實習</t>
    <phoneticPr fontId="2" type="noConversion"/>
  </si>
  <si>
    <t>專題實作</t>
    <phoneticPr fontId="2" type="noConversion"/>
  </si>
  <si>
    <t>立體造型</t>
    <phoneticPr fontId="2" type="noConversion"/>
  </si>
  <si>
    <t>陶冶文創</t>
    <phoneticPr fontId="2" type="noConversion"/>
  </si>
  <si>
    <t>數學演習(移至高三)</t>
    <phoneticPr fontId="2" type="noConversion"/>
  </si>
  <si>
    <t>歷史(112起移至高三)</t>
    <phoneticPr fontId="2" type="noConversion"/>
  </si>
  <si>
    <t>地理(多.資.英112起移至高三)</t>
    <phoneticPr fontId="2" type="noConversion"/>
  </si>
  <si>
    <t>應英科</t>
    <phoneticPr fontId="2" type="noConversion"/>
  </si>
  <si>
    <t>應英科</t>
    <phoneticPr fontId="2" type="noConversion"/>
  </si>
  <si>
    <r>
      <t>二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年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級</t>
    </r>
    <phoneticPr fontId="2" type="noConversion"/>
  </si>
  <si>
    <r>
      <t>備</t>
    </r>
    <r>
      <rPr>
        <sz val="12"/>
        <rFont val="Times New Roman"/>
        <family val="1"/>
      </rPr>
      <t xml:space="preserve">     </t>
    </r>
    <r>
      <rPr>
        <sz val="12"/>
        <rFont val="新細明體"/>
        <family val="1"/>
        <charset val="136"/>
      </rPr>
      <t>註</t>
    </r>
    <r>
      <rPr>
        <sz val="12"/>
        <rFont val="Times New Roman"/>
        <family val="1"/>
      </rPr>
      <t xml:space="preserve">  
(</t>
    </r>
    <r>
      <rPr>
        <sz val="12"/>
        <rFont val="新細明體"/>
        <family val="1"/>
        <charset val="136"/>
      </rPr>
      <t>現有正式教師</t>
    </r>
    <r>
      <rPr>
        <sz val="12"/>
        <rFont val="Times New Roman"/>
        <family val="1"/>
      </rPr>
      <t>)</t>
    </r>
    <phoneticPr fontId="2" type="noConversion"/>
  </si>
  <si>
    <t>導師</t>
    <phoneticPr fontId="2" type="noConversion"/>
  </si>
  <si>
    <t>商一甲</t>
    <phoneticPr fontId="2" type="noConversion"/>
  </si>
  <si>
    <t>本土語文</t>
    <phoneticPr fontId="2" type="noConversion"/>
  </si>
  <si>
    <t>張秋菊</t>
  </si>
  <si>
    <t>資二甲</t>
    <phoneticPr fontId="2" type="noConversion"/>
  </si>
  <si>
    <t>黃文華</t>
  </si>
  <si>
    <t>商三甲</t>
  </si>
  <si>
    <t>資三甲</t>
  </si>
  <si>
    <t>實用英語</t>
    <phoneticPr fontId="2" type="noConversion"/>
  </si>
  <si>
    <t>會計實務</t>
  </si>
  <si>
    <t>資訊記帳實務(核跨班)</t>
  </si>
  <si>
    <t>人工記帳實務(核跨班)</t>
  </si>
  <si>
    <t>會計實務進階(實選修)</t>
    <phoneticPr fontId="2" type="noConversion"/>
  </si>
  <si>
    <t>門市服務實務</t>
    <phoneticPr fontId="2" type="noConversion"/>
  </si>
  <si>
    <t>經濟學概要</t>
    <phoneticPr fontId="2" type="noConversion"/>
  </si>
  <si>
    <t>電子商務實務(實選修)</t>
    <phoneticPr fontId="2" type="noConversion"/>
  </si>
  <si>
    <t>程式語言與設計</t>
  </si>
  <si>
    <t>中英文文書處理</t>
    <phoneticPr fontId="2" type="noConversion"/>
  </si>
  <si>
    <t>數位科技進階</t>
    <phoneticPr fontId="2" type="noConversion"/>
  </si>
  <si>
    <t>數據分析應用(核跨班)</t>
    <phoneticPr fontId="2" type="noConversion"/>
  </si>
  <si>
    <t>網頁設計(核跨班)</t>
    <phoneticPr fontId="2" type="noConversion"/>
  </si>
  <si>
    <t>雲端服務運用(核跨班)</t>
    <phoneticPr fontId="2" type="noConversion"/>
  </si>
  <si>
    <t>多媒體製作與應用(實跨班)</t>
    <phoneticPr fontId="2" type="noConversion"/>
  </si>
  <si>
    <t>網頁設計(實跨班)</t>
    <phoneticPr fontId="2" type="noConversion"/>
  </si>
  <si>
    <t>行動裝置程式開發</t>
    <phoneticPr fontId="2" type="noConversion"/>
  </si>
  <si>
    <t>藝術與生活</t>
    <phoneticPr fontId="2" type="noConversion"/>
  </si>
  <si>
    <t>輔導</t>
    <phoneticPr fontId="2" type="noConversion"/>
  </si>
  <si>
    <t>自然科</t>
    <phoneticPr fontId="2" type="noConversion"/>
  </si>
  <si>
    <t>綜合活動</t>
  </si>
  <si>
    <t>備註(人)</t>
    <phoneticPr fontId="2" type="noConversion"/>
  </si>
  <si>
    <t>備註(事)</t>
    <phoneticPr fontId="2" type="noConversion"/>
  </si>
  <si>
    <t>113學年日校歷史、地理因應課綱挪移暫減14節</t>
    <phoneticPr fontId="2" type="noConversion"/>
  </si>
  <si>
    <t>113學年日生涯規劃因課綱調整生涯規劃暫多9節</t>
    <phoneticPr fontId="2" type="noConversion"/>
  </si>
  <si>
    <t>進修部授課為主之正式教師數</t>
    <phoneticPr fontId="2" type="noConversion"/>
  </si>
  <si>
    <t>進修部授課為主代理教師數</t>
    <phoneticPr fontId="2" type="noConversion"/>
  </si>
  <si>
    <t>一年級</t>
    <phoneticPr fontId="2" type="noConversion"/>
  </si>
  <si>
    <t>會計學概要分析</t>
    <phoneticPr fontId="2" type="noConversion"/>
  </si>
  <si>
    <t>活用會計(核跨班)</t>
    <phoneticPr fontId="2" type="noConversion"/>
  </si>
  <si>
    <t>帳務分析實作(核跨班)</t>
    <phoneticPr fontId="2" type="noConversion"/>
  </si>
  <si>
    <t>113學年度</t>
    <phoneticPr fontId="2" type="noConversion"/>
  </si>
  <si>
    <t>基本節數(正式教師以導師預估)</t>
    <phoneticPr fontId="2" type="noConversion"/>
  </si>
  <si>
    <t>需求
節數</t>
    <phoneticPr fontId="2" type="noConversion"/>
  </si>
  <si>
    <t>剩餘
節數</t>
    <phoneticPr fontId="2" type="noConversion"/>
  </si>
  <si>
    <t>教師平均超時</t>
    <phoneticPr fontId="2" type="noConversion"/>
  </si>
  <si>
    <t>專題實作</t>
    <phoneticPr fontId="2" type="noConversion"/>
  </si>
  <si>
    <t>不含代理教師莊明璋</t>
    <phoneticPr fontId="2" type="noConversion"/>
  </si>
  <si>
    <r>
      <rPr>
        <b/>
        <sz val="9"/>
        <color rgb="FF00B050"/>
        <rFont val="細明體"/>
        <family val="3"/>
        <charset val="136"/>
      </rPr>
      <t>阮珊珊、</t>
    </r>
    <r>
      <rPr>
        <b/>
        <sz val="9"/>
        <color rgb="FF7030A0"/>
        <rFont val="細明體"/>
        <family val="3"/>
        <charset val="136"/>
      </rPr>
      <t>朱湄惠、林明穎、</t>
    </r>
    <r>
      <rPr>
        <b/>
        <u/>
        <sz val="9"/>
        <rFont val="細明體"/>
        <family val="3"/>
        <charset val="136"/>
      </rPr>
      <t>黃佩莉</t>
    </r>
    <phoneticPr fontId="2" type="noConversion"/>
  </si>
  <si>
    <t>招聘代理教師，若無則請教官支援</t>
    <phoneticPr fontId="2" type="noConversion"/>
  </si>
  <si>
    <t>許志恆教師兼授公民</t>
    <phoneticPr fontId="2" type="noConversion"/>
  </si>
  <si>
    <r>
      <t>113</t>
    </r>
    <r>
      <rPr>
        <sz val="10"/>
        <rFont val="細明體"/>
        <family val="3"/>
        <charset val="136"/>
      </rPr>
      <t>學年李濟森老師請侍親留停</t>
    </r>
    <phoneticPr fontId="2" type="noConversion"/>
  </si>
  <si>
    <r>
      <t>113</t>
    </r>
    <r>
      <rPr>
        <sz val="10"/>
        <rFont val="細明體"/>
        <family val="3"/>
        <charset val="136"/>
      </rPr>
      <t>學年吳汶諭老師請育嬰留停</t>
    </r>
    <phoneticPr fontId="2" type="noConversion"/>
  </si>
  <si>
    <t>剩餘  節數</t>
    <phoneticPr fontId="2" type="noConversion"/>
  </si>
  <si>
    <t>*1</t>
    <phoneticPr fontId="2" type="noConversion"/>
  </si>
  <si>
    <t>不含代理教師廖懿琳</t>
    <phoneticPr fontId="2" type="noConversion"/>
  </si>
  <si>
    <t>不含代理教師林秋美、楊昌融</t>
    <phoneticPr fontId="2" type="noConversion"/>
  </si>
  <si>
    <r>
      <t>113</t>
    </r>
    <r>
      <rPr>
        <b/>
        <sz val="14"/>
        <rFont val="細明體"/>
        <family val="3"/>
        <charset val="136"/>
      </rPr>
      <t>學年度日間職務編制</t>
    </r>
    <phoneticPr fontId="2" type="noConversion"/>
  </si>
  <si>
    <t>不含代理教師蘇文夙</t>
    <phoneticPr fontId="2" type="noConversion"/>
  </si>
  <si>
    <t>不含代理教師楊文鶯、陳美娟、張德彥；許志恒老師兼授公民</t>
    <phoneticPr fontId="2" type="noConversion"/>
  </si>
  <si>
    <r>
      <t>不含代理教師</t>
    </r>
    <r>
      <rPr>
        <b/>
        <u/>
        <sz val="11"/>
        <color indexed="10"/>
        <rFont val="新細明體"/>
        <family val="1"/>
        <charset val="136"/>
        <scheme val="major"/>
      </rPr>
      <t>李思穎</t>
    </r>
    <phoneticPr fontId="2" type="noConversion"/>
  </si>
  <si>
    <r>
      <t>不含代理教師林坤宏、</t>
    </r>
    <r>
      <rPr>
        <b/>
        <sz val="11"/>
        <color rgb="FFFF0000"/>
        <rFont val="新細明體"/>
        <family val="1"/>
        <charset val="136"/>
        <scheme val="major"/>
      </rPr>
      <t>黃伃延</t>
    </r>
    <phoneticPr fontId="2" type="noConversion"/>
  </si>
  <si>
    <r>
      <t>不含代理教師</t>
    </r>
    <r>
      <rPr>
        <b/>
        <sz val="12"/>
        <color rgb="FFFF0000"/>
        <rFont val="新細明體"/>
        <family val="1"/>
        <charset val="136"/>
        <scheme val="minor"/>
      </rPr>
      <t>蔡文杰</t>
    </r>
    <phoneticPr fontId="2" type="noConversion"/>
  </si>
  <si>
    <t>未來正式教師預估節數</t>
    <phoneticPr fontId="2" type="noConversion"/>
  </si>
  <si>
    <t>全校  需求
節數</t>
    <phoneticPr fontId="2" type="noConversion"/>
  </si>
  <si>
    <t>未來尚可聘用人數</t>
    <phoneticPr fontId="2" type="noConversion"/>
  </si>
  <si>
    <t>*2</t>
    <phoneticPr fontId="2" type="noConversion"/>
  </si>
  <si>
    <t>適用課綱：112(高三)、113(高二)、114(高一)</t>
    <phoneticPr fontId="2" type="noConversion"/>
  </si>
  <si>
    <t>113學年職務正式教師節數</t>
    <phoneticPr fontId="2" type="noConversion"/>
  </si>
  <si>
    <t>113學年度</t>
  </si>
  <si>
    <t>正式教師平均超時</t>
    <phoneticPr fontId="2" type="noConversion"/>
  </si>
  <si>
    <t>英文暨
應英科</t>
    <phoneticPr fontId="2" type="noConversion"/>
  </si>
  <si>
    <t>多媒科</t>
    <phoneticPr fontId="2" type="noConversion"/>
  </si>
  <si>
    <t>人工智慧溝通入門(AM選) 5選1</t>
    <phoneticPr fontId="2" type="noConversion"/>
  </si>
  <si>
    <t>人工智慧溝通入門(AM選) 5選1</t>
    <phoneticPr fontId="2" type="noConversion"/>
  </si>
  <si>
    <t>英語電影欣賞與討論(AJ選)3選1</t>
    <phoneticPr fontId="2" type="noConversion"/>
  </si>
  <si>
    <t>職場英語情境練習(AJ選)3選1</t>
    <phoneticPr fontId="2" type="noConversion"/>
  </si>
  <si>
    <t>中英翻譯練習(AG選)2選1</t>
    <phoneticPr fontId="2" type="noConversion"/>
  </si>
  <si>
    <t>數位與商業電影實習</t>
    <phoneticPr fontId="2" type="noConversion"/>
  </si>
  <si>
    <t>影音製作實習</t>
    <phoneticPr fontId="2" type="noConversion"/>
  </si>
  <si>
    <t>影音剪輯實習</t>
    <phoneticPr fontId="2" type="noConversion"/>
  </si>
  <si>
    <t>色彩計畫</t>
    <phoneticPr fontId="2" type="noConversion"/>
  </si>
  <si>
    <t>設計分析</t>
    <phoneticPr fontId="2" type="noConversion"/>
  </si>
  <si>
    <t>印刷實務</t>
    <phoneticPr fontId="2" type="noConversion"/>
  </si>
  <si>
    <t>基礎錄像剪輯</t>
    <phoneticPr fontId="2" type="noConversion"/>
  </si>
  <si>
    <t>製圖應用實務</t>
    <phoneticPr fontId="2" type="noConversion"/>
  </si>
  <si>
    <t>繪畫應用實務</t>
    <phoneticPr fontId="2" type="noConversion"/>
  </si>
  <si>
    <t>作品集實作</t>
    <phoneticPr fontId="2" type="noConversion"/>
  </si>
  <si>
    <t>數位插畫設計</t>
    <phoneticPr fontId="2" type="noConversion"/>
  </si>
  <si>
    <t>數位板面設計</t>
    <phoneticPr fontId="2" type="noConversion"/>
  </si>
  <si>
    <t>數位複合媒材</t>
    <phoneticPr fontId="2" type="noConversion"/>
  </si>
  <si>
    <t>網頁設計實習(暫委託資處科協助)</t>
    <phoneticPr fontId="2" type="noConversion"/>
  </si>
  <si>
    <t>網頁設計(AC選)3選1</t>
    <phoneticPr fontId="2" type="noConversion"/>
  </si>
  <si>
    <t>網頁設計實習(暫支援多媒科)</t>
    <phoneticPr fontId="2" type="noConversion"/>
  </si>
  <si>
    <t>創意圖文設計(移到高三，115學年實施)</t>
    <phoneticPr fontId="2" type="noConversion"/>
  </si>
  <si>
    <t>商業溝通(支援資科商業溝通)</t>
    <phoneticPr fontId="2" type="noConversion"/>
  </si>
  <si>
    <t>114學年度</t>
    <phoneticPr fontId="2" type="noConversion"/>
  </si>
  <si>
    <t>教學
領域</t>
    <phoneticPr fontId="2" type="noConversion"/>
  </si>
  <si>
    <t>年級科別
科目名稱</t>
    <phoneticPr fontId="2" type="noConversion"/>
  </si>
  <si>
    <t>三年級</t>
    <phoneticPr fontId="2" type="noConversion"/>
  </si>
  <si>
    <r>
      <t>總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計</t>
    </r>
    <phoneticPr fontId="2" type="noConversion"/>
  </si>
  <si>
    <t>商經</t>
    <phoneticPr fontId="2" type="noConversion"/>
  </si>
  <si>
    <t>商訊</t>
    <phoneticPr fontId="2" type="noConversion"/>
  </si>
  <si>
    <t>資處</t>
    <phoneticPr fontId="2" type="noConversion"/>
  </si>
  <si>
    <t>語文</t>
    <phoneticPr fontId="2" type="noConversion"/>
  </si>
  <si>
    <t>國語文</t>
    <phoneticPr fontId="2" type="noConversion"/>
  </si>
  <si>
    <t>組長:李智淵(5)(課諮-1)
導師:顏如玉(10)
導師:許雅婷(10)</t>
    <phoneticPr fontId="2" type="noConversion"/>
  </si>
  <si>
    <t>張萬華</t>
    <phoneticPr fontId="2" type="noConversion"/>
  </si>
  <si>
    <t>資一甲</t>
    <phoneticPr fontId="2" type="noConversion"/>
  </si>
  <si>
    <t>許雅婷</t>
    <phoneticPr fontId="2" type="noConversion"/>
  </si>
  <si>
    <t>公民與社會</t>
    <phoneticPr fontId="2" type="noConversion"/>
  </si>
  <si>
    <t>訊一甲</t>
    <phoneticPr fontId="2" type="noConversion"/>
  </si>
  <si>
    <t>顏如玉</t>
    <phoneticPr fontId="2" type="noConversion"/>
  </si>
  <si>
    <t>商二甲</t>
    <phoneticPr fontId="2" type="noConversion"/>
  </si>
  <si>
    <t>張美惠</t>
    <phoneticPr fontId="2" type="noConversion"/>
  </si>
  <si>
    <t>從在地作家看經典</t>
    <phoneticPr fontId="2" type="noConversion"/>
  </si>
  <si>
    <t>劉和師</t>
    <phoneticPr fontId="2" type="noConversion"/>
  </si>
  <si>
    <t>彈性學習時間</t>
    <phoneticPr fontId="2" type="noConversion"/>
  </si>
  <si>
    <t>花蓮作家與原住民文學</t>
    <phoneticPr fontId="2" type="noConversion"/>
  </si>
  <si>
    <t>國語文閱讀寫作</t>
    <phoneticPr fontId="2" type="noConversion"/>
  </si>
  <si>
    <t>英文</t>
    <phoneticPr fontId="2" type="noConversion"/>
  </si>
  <si>
    <t>導師:張萬華(12)</t>
    <phoneticPr fontId="2" type="noConversion"/>
  </si>
  <si>
    <r>
      <t>數學</t>
    </r>
    <r>
      <rPr>
        <sz val="12"/>
        <rFont val="Times New Roman"/>
        <family val="1"/>
      </rPr>
      <t/>
    </r>
    <phoneticPr fontId="2" type="noConversion"/>
  </si>
  <si>
    <t>組長:吳振銘(6)</t>
    <phoneticPr fontId="2" type="noConversion"/>
  </si>
  <si>
    <t>會計學</t>
    <phoneticPr fontId="2" type="noConversion"/>
  </si>
  <si>
    <r>
      <t xml:space="preserve">導師:黃文華(12)
</t>
    </r>
    <r>
      <rPr>
        <sz val="12"/>
        <color theme="6" tint="-0.499984740745262"/>
        <rFont val="新細明體"/>
        <family val="1"/>
        <charset val="136"/>
      </rPr>
      <t>專任:黃伃延(16)</t>
    </r>
    <phoneticPr fontId="2" type="noConversion"/>
  </si>
  <si>
    <t>行銷實務</t>
    <phoneticPr fontId="2" type="noConversion"/>
  </si>
  <si>
    <t>記帳實務</t>
    <phoneticPr fontId="2" type="noConversion"/>
  </si>
  <si>
    <t>行銷實務(實選修)</t>
    <phoneticPr fontId="2" type="noConversion"/>
  </si>
  <si>
    <t>商業概論</t>
    <phoneticPr fontId="2" type="noConversion"/>
  </si>
  <si>
    <r>
      <t xml:space="preserve">導師:張秋菊(12)
</t>
    </r>
    <r>
      <rPr>
        <sz val="12"/>
        <color theme="6" tint="-0.499984740745262"/>
        <rFont val="新細明體"/>
        <family val="1"/>
        <charset val="136"/>
      </rPr>
      <t>專任:李思穎(16)</t>
    </r>
    <r>
      <rPr>
        <sz val="12"/>
        <rFont val="新細明體"/>
        <family val="1"/>
        <charset val="136"/>
      </rPr>
      <t xml:space="preserve">
</t>
    </r>
    <phoneticPr fontId="2" type="noConversion"/>
  </si>
  <si>
    <t>門市經營實務</t>
    <phoneticPr fontId="2" type="noConversion"/>
  </si>
  <si>
    <t>商業刊物導讀</t>
    <phoneticPr fontId="2" type="noConversion"/>
  </si>
  <si>
    <t>經濟學</t>
    <phoneticPr fontId="2" type="noConversion"/>
  </si>
  <si>
    <t>經濟學進階</t>
    <phoneticPr fontId="2" type="noConversion"/>
  </si>
  <si>
    <t>商業簡報實務(核跨班)</t>
    <phoneticPr fontId="2" type="noConversion"/>
  </si>
  <si>
    <t>理財桌遊(核跨班)</t>
    <phoneticPr fontId="2" type="noConversion"/>
  </si>
  <si>
    <t>商業簡報實務(實選修)</t>
    <phoneticPr fontId="2" type="noConversion"/>
  </si>
  <si>
    <r>
      <t xml:space="preserve">主任:官孟璋(5)
導師:劉和師(12)
導師:張美惠(12)
</t>
    </r>
    <r>
      <rPr>
        <b/>
        <sz val="12"/>
        <color rgb="FFFF0000"/>
        <rFont val="新細明體"/>
        <family val="1"/>
        <charset val="136"/>
      </rPr>
      <t/>
    </r>
    <phoneticPr fontId="2" type="noConversion"/>
  </si>
  <si>
    <t>多媒體製作與應用</t>
    <phoneticPr fontId="2" type="noConversion"/>
  </si>
  <si>
    <t>職涯體驗</t>
    <phoneticPr fontId="2" type="noConversion"/>
  </si>
  <si>
    <t>程式語言實作</t>
    <phoneticPr fontId="2" type="noConversion"/>
  </si>
  <si>
    <t>影像處理</t>
    <phoneticPr fontId="2" type="noConversion"/>
  </si>
  <si>
    <t>資料庫應用</t>
    <phoneticPr fontId="2" type="noConversion"/>
  </si>
  <si>
    <t>數位媒體應用(核跨班)</t>
    <phoneticPr fontId="2" type="noConversion"/>
  </si>
  <si>
    <t>美術</t>
    <phoneticPr fontId="2" type="noConversion"/>
  </si>
  <si>
    <t>生涯規劃</t>
    <phoneticPr fontId="2" type="noConversion"/>
  </si>
  <si>
    <t>輔導老師：黃佩莉(6)</t>
    <phoneticPr fontId="2" type="noConversion"/>
  </si>
  <si>
    <t>生命教育概論</t>
    <phoneticPr fontId="2" type="noConversion"/>
  </si>
  <si>
    <t>人際關係</t>
    <phoneticPr fontId="2" type="noConversion"/>
  </si>
  <si>
    <t>物理</t>
    <phoneticPr fontId="2" type="noConversion"/>
  </si>
  <si>
    <t>生物</t>
    <phoneticPr fontId="2" type="noConversion"/>
  </si>
  <si>
    <t>藝能科</t>
    <phoneticPr fontId="2" type="noConversion"/>
  </si>
  <si>
    <r>
      <t>體</t>
    </r>
    <r>
      <rPr>
        <sz val="12"/>
        <rFont val="新細明體"/>
        <family val="1"/>
        <charset val="136"/>
      </rPr>
      <t>育</t>
    </r>
    <phoneticPr fontId="2" type="noConversion"/>
  </si>
  <si>
    <t>體適能與運動</t>
    <phoneticPr fontId="2" type="noConversion"/>
  </si>
  <si>
    <t>健康與護理</t>
    <phoneticPr fontId="2" type="noConversion"/>
  </si>
  <si>
    <t>全民國防教育</t>
    <phoneticPr fontId="2" type="noConversion"/>
  </si>
  <si>
    <t>彈性學習</t>
    <phoneticPr fontId="2" type="noConversion"/>
  </si>
  <si>
    <t>導師</t>
    <phoneticPr fontId="2" type="noConversion"/>
  </si>
  <si>
    <t>團體活動</t>
    <phoneticPr fontId="2" type="noConversion"/>
  </si>
  <si>
    <t>團體活動</t>
    <phoneticPr fontId="2" type="noConversion"/>
  </si>
  <si>
    <t>班會</t>
    <phoneticPr fontId="2" type="noConversion"/>
  </si>
  <si>
    <r>
      <t>小</t>
    </r>
    <r>
      <rPr>
        <sz val="12"/>
        <rFont val="Times New Roman"/>
        <family val="1"/>
      </rPr>
      <t xml:space="preserve">                 </t>
    </r>
    <r>
      <rPr>
        <sz val="12"/>
        <rFont val="新細明體"/>
        <family val="1"/>
        <charset val="136"/>
      </rPr>
      <t>計</t>
    </r>
    <phoneticPr fontId="2" type="noConversion"/>
  </si>
  <si>
    <t>進修部--課程時數概算比較表</t>
    <phoneticPr fontId="2" type="noConversion"/>
  </si>
  <si>
    <r>
      <t>113-1</t>
    </r>
    <r>
      <rPr>
        <sz val="16"/>
        <rFont val="標楷體"/>
        <family val="4"/>
        <charset val="136"/>
      </rPr>
      <t>學年度</t>
    </r>
    <r>
      <rPr>
        <sz val="16"/>
        <rFont val="Times New Roman"/>
        <family val="1"/>
      </rPr>
      <t>(</t>
    </r>
    <r>
      <rPr>
        <sz val="16"/>
        <rFont val="標楷體"/>
        <family val="4"/>
        <charset val="136"/>
      </rPr>
      <t>預估</t>
    </r>
    <r>
      <rPr>
        <sz val="16"/>
        <rFont val="Times New Roman"/>
        <family val="1"/>
      </rPr>
      <t>)</t>
    </r>
    <phoneticPr fontId="2" type="noConversion"/>
  </si>
  <si>
    <t>平均兼課時數</t>
    <phoneticPr fontId="2" type="noConversion"/>
  </si>
  <si>
    <r>
      <t xml:space="preserve">113  </t>
    </r>
    <r>
      <rPr>
        <sz val="14"/>
        <rFont val="新細明體"/>
        <family val="1"/>
        <charset val="136"/>
      </rPr>
      <t>上學年度</t>
    </r>
    <phoneticPr fontId="2" type="noConversion"/>
  </si>
  <si>
    <t>群別</t>
    <phoneticPr fontId="2" type="noConversion"/>
  </si>
  <si>
    <t>基本
節數</t>
    <phoneticPr fontId="2" type="noConversion"/>
  </si>
  <si>
    <t>分配
節數</t>
    <phoneticPr fontId="2" type="noConversion"/>
  </si>
  <si>
    <r>
      <t>113</t>
    </r>
    <r>
      <rPr>
        <sz val="16"/>
        <rFont val="標楷體"/>
        <family val="4"/>
        <charset val="136"/>
      </rPr>
      <t>學年度</t>
    </r>
    <phoneticPr fontId="2" type="noConversion"/>
  </si>
  <si>
    <t>兼課</t>
    <phoneticPr fontId="2" type="noConversion"/>
  </si>
  <si>
    <t>教官</t>
    <phoneticPr fontId="2" type="noConversion"/>
  </si>
  <si>
    <t>合
計</t>
    <phoneticPr fontId="2" type="noConversion"/>
  </si>
  <si>
    <r>
      <t>國文</t>
    </r>
    <r>
      <rPr>
        <sz val="16"/>
        <rFont val="Times New Roman"/>
        <family val="1"/>
      </rPr>
      <t xml:space="preserve">/
    </t>
    </r>
    <r>
      <rPr>
        <sz val="16"/>
        <rFont val="標楷體"/>
        <family val="4"/>
        <charset val="136"/>
      </rPr>
      <t>社會領域</t>
    </r>
    <phoneticPr fontId="2" type="noConversion"/>
  </si>
  <si>
    <r>
      <t>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人</t>
    </r>
    <phoneticPr fontId="2" type="noConversion"/>
  </si>
  <si>
    <r>
      <t>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人</t>
    </r>
    <phoneticPr fontId="2" type="noConversion"/>
  </si>
  <si>
    <t>各科教師人數</t>
    <phoneticPr fontId="2" type="noConversion"/>
  </si>
  <si>
    <t>組長：李智淵(5)(課諮減1)
導師：許雅婷(10)
導師：顏如玉(10)</t>
    <phoneticPr fontId="2" type="noConversion"/>
  </si>
  <si>
    <t>本土-3
+3班會</t>
    <phoneticPr fontId="2" type="noConversion"/>
  </si>
  <si>
    <t>英文領域</t>
    <phoneticPr fontId="2" type="noConversion"/>
  </si>
  <si>
    <r>
      <t>數學</t>
    </r>
    <r>
      <rPr>
        <sz val="16"/>
        <rFont val="標楷體"/>
        <family val="4"/>
        <charset val="136"/>
      </rPr>
      <t>領域</t>
    </r>
    <phoneticPr fontId="2" type="noConversion"/>
  </si>
  <si>
    <r>
      <t>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人</t>
    </r>
    <phoneticPr fontId="2" type="noConversion"/>
  </si>
  <si>
    <t>會計科</t>
    <phoneticPr fontId="2" type="noConversion"/>
  </si>
  <si>
    <t>導師：黃文華(12)</t>
    <phoneticPr fontId="2" type="noConversion"/>
  </si>
  <si>
    <t>+1班會</t>
    <phoneticPr fontId="2" type="noConversion"/>
  </si>
  <si>
    <r>
      <t>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人</t>
    </r>
    <phoneticPr fontId="2" type="noConversion"/>
  </si>
  <si>
    <t>導師：張秋菊(12)</t>
    <phoneticPr fontId="2" type="noConversion"/>
  </si>
  <si>
    <t>主任：官孟璋(5)
導師：劉和師(12)
導師：張美惠(12)</t>
    <phoneticPr fontId="2" type="noConversion"/>
  </si>
  <si>
    <t>+2班會</t>
  </si>
  <si>
    <t>體育</t>
    <phoneticPr fontId="2" type="noConversion"/>
  </si>
  <si>
    <t>國防通識/
全民國防教育</t>
    <phoneticPr fontId="2" type="noConversion"/>
  </si>
  <si>
    <t>輔導老師：黃佩莉(6)</t>
    <phoneticPr fontId="2" type="noConversion"/>
  </si>
  <si>
    <r>
      <t>全校</t>
    </r>
    <r>
      <rPr>
        <b/>
        <sz val="20"/>
        <rFont val="Arial"/>
        <family val="2"/>
      </rPr>
      <t>113-114</t>
    </r>
    <r>
      <rPr>
        <b/>
        <sz val="20"/>
        <rFont val="新細明體"/>
        <family val="1"/>
        <charset val="136"/>
      </rPr>
      <t>學年度</t>
    </r>
    <r>
      <rPr>
        <b/>
        <sz val="18"/>
        <rFont val="新細明體"/>
        <family val="1"/>
        <charset val="136"/>
      </rPr>
      <t>授課節數概算表</t>
    </r>
    <phoneticPr fontId="2" type="noConversion"/>
  </si>
  <si>
    <t>114學年職務正式教師節數(以導師預估)</t>
    <phoneticPr fontId="2" type="noConversion"/>
  </si>
  <si>
    <t>英文商業書信寫作</t>
    <phoneticPr fontId="2" type="noConversion"/>
  </si>
  <si>
    <t>專題實作</t>
    <phoneticPr fontId="2" type="noConversion"/>
  </si>
  <si>
    <t>外語簡報實務</t>
    <phoneticPr fontId="2" type="noConversion"/>
  </si>
  <si>
    <t>實用英文表達(AM選)5選1</t>
    <phoneticPr fontId="2" type="noConversion"/>
  </si>
  <si>
    <t>上學期</t>
    <phoneticPr fontId="2" type="noConversion"/>
  </si>
  <si>
    <t>下學期</t>
    <phoneticPr fontId="2" type="noConversion"/>
  </si>
  <si>
    <r>
      <t>113</t>
    </r>
    <r>
      <rPr>
        <sz val="10"/>
        <rFont val="細明體"/>
        <family val="3"/>
        <charset val="136"/>
      </rPr>
      <t>學年有實用技能班一班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高一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共</t>
    </r>
    <r>
      <rPr>
        <sz val="10"/>
        <rFont val="Arial"/>
        <family val="2"/>
      </rPr>
      <t>4</t>
    </r>
    <r>
      <rPr>
        <sz val="10"/>
        <rFont val="細明體"/>
        <family val="3"/>
        <charset val="136"/>
      </rPr>
      <t>節、資媒組長綁定資料處理科</t>
    </r>
    <phoneticPr fontId="2" type="noConversion"/>
  </si>
  <si>
    <r>
      <t>113</t>
    </r>
    <r>
      <rPr>
        <sz val="10"/>
        <rFont val="細明體"/>
        <family val="3"/>
        <charset val="136"/>
      </rPr>
      <t>學年有實用技能班一班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高一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共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節</t>
    </r>
    <phoneticPr fontId="2" type="noConversion"/>
  </si>
  <si>
    <r>
      <t>113</t>
    </r>
    <r>
      <rPr>
        <sz val="10"/>
        <rFont val="細明體"/>
        <family val="3"/>
        <charset val="136"/>
      </rPr>
      <t>學年有實用技能班一班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高一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共</t>
    </r>
    <r>
      <rPr>
        <sz val="10"/>
        <rFont val="Arial"/>
        <family val="2"/>
      </rPr>
      <t>5</t>
    </r>
    <r>
      <rPr>
        <sz val="10"/>
        <rFont val="細明體"/>
        <family val="3"/>
        <charset val="136"/>
      </rPr>
      <t>節</t>
    </r>
    <phoneticPr fontId="2" type="noConversion"/>
  </si>
  <si>
    <t>普通科節數</t>
    <phoneticPr fontId="2" type="noConversion"/>
  </si>
  <si>
    <t>應用英語科節數</t>
    <phoneticPr fontId="2" type="noConversion"/>
  </si>
  <si>
    <t>普通科節數</t>
    <phoneticPr fontId="2" type="noConversion"/>
  </si>
  <si>
    <t>應用英語科節數</t>
    <phoneticPr fontId="2" type="noConversion"/>
  </si>
  <si>
    <t>應英科如調整應日科</t>
    <phoneticPr fontId="2" type="noConversion"/>
  </si>
  <si>
    <r>
      <t>115</t>
    </r>
    <r>
      <rPr>
        <sz val="10"/>
        <rFont val="細明體"/>
        <family val="3"/>
        <charset val="136"/>
      </rPr>
      <t>學年減4節.116學年減10節.117學年減7節</t>
    </r>
    <phoneticPr fontId="2" type="noConversion"/>
  </si>
  <si>
    <r>
      <t>114</t>
    </r>
    <r>
      <rPr>
        <sz val="10"/>
        <rFont val="細明體"/>
        <family val="3"/>
        <charset val="136"/>
      </rPr>
      <t>學年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人</t>
    </r>
    <phoneticPr fontId="2" type="noConversion"/>
  </si>
  <si>
    <r>
      <t>116</t>
    </r>
    <r>
      <rPr>
        <sz val="10"/>
        <rFont val="細明體"/>
        <family val="3"/>
        <charset val="136"/>
      </rPr>
      <t>學年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人</t>
    </r>
    <phoneticPr fontId="2" type="noConversion"/>
  </si>
  <si>
    <r>
      <t>114</t>
    </r>
    <r>
      <rPr>
        <sz val="10"/>
        <rFont val="細明體"/>
        <family val="3"/>
        <charset val="136"/>
      </rPr>
      <t>學年1人、</t>
    </r>
    <r>
      <rPr>
        <sz val="10"/>
        <rFont val="Arial"/>
        <family val="2"/>
      </rPr>
      <t>116</t>
    </r>
    <r>
      <rPr>
        <sz val="10"/>
        <rFont val="細明體"/>
        <family val="3"/>
        <charset val="136"/>
      </rPr>
      <t>學年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人</t>
    </r>
    <phoneticPr fontId="2" type="noConversion"/>
  </si>
  <si>
    <r>
      <rPr>
        <sz val="10"/>
        <rFont val="細明體"/>
        <family val="3"/>
        <charset val="136"/>
      </rPr>
      <t>軍訓教官支援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尚有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人，惟將於</t>
    </r>
    <r>
      <rPr>
        <sz val="10"/>
        <rFont val="Arial"/>
        <family val="2"/>
      </rPr>
      <t>113</t>
    </r>
    <r>
      <rPr>
        <sz val="10"/>
        <rFont val="細明體"/>
        <family val="3"/>
        <charset val="136"/>
      </rPr>
      <t>學年退伍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人、</t>
    </r>
    <r>
      <rPr>
        <sz val="10"/>
        <rFont val="Arial"/>
        <family val="2"/>
      </rPr>
      <t>114</t>
    </r>
    <r>
      <rPr>
        <sz val="10"/>
        <rFont val="細明體"/>
        <family val="3"/>
        <charset val="136"/>
      </rPr>
      <t>學年退伍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人</t>
    </r>
    <r>
      <rPr>
        <sz val="10"/>
        <rFont val="Arial"/>
        <family val="2"/>
      </rPr>
      <t>)</t>
    </r>
    <phoneticPr fontId="2" type="noConversion"/>
  </si>
  <si>
    <t>應英科如調整特招班、會計科如調整國貿科</t>
    <phoneticPr fontId="2" type="noConversion"/>
  </si>
  <si>
    <r>
      <rPr>
        <b/>
        <sz val="9"/>
        <color rgb="FF00B050"/>
        <rFont val="細明體"/>
        <family val="3"/>
        <charset val="136"/>
      </rPr>
      <t>邱亦縈、賴士鈞、呂善成</t>
    </r>
    <r>
      <rPr>
        <b/>
        <sz val="9"/>
        <rFont val="細明體"/>
        <family val="3"/>
        <charset val="136"/>
      </rPr>
      <t>、</t>
    </r>
    <r>
      <rPr>
        <b/>
        <sz val="9"/>
        <color rgb="FF7030A0"/>
        <rFont val="細明體"/>
        <family val="3"/>
        <charset val="136"/>
      </rPr>
      <t>林怡菁、</t>
    </r>
    <r>
      <rPr>
        <b/>
        <sz val="9"/>
        <color rgb="FFFF7C80"/>
        <rFont val="細明體"/>
        <family val="3"/>
        <charset val="136"/>
      </rPr>
      <t>凌兆鳳、</t>
    </r>
    <r>
      <rPr>
        <b/>
        <sz val="9"/>
        <color theme="9" tint="-0.499984740745262"/>
        <rFont val="細明體"/>
        <family val="3"/>
        <charset val="136"/>
      </rPr>
      <t>周宜梅、</t>
    </r>
    <r>
      <rPr>
        <b/>
        <sz val="9"/>
        <color rgb="FFFF7C80"/>
        <rFont val="細明體"/>
        <family val="3"/>
        <charset val="136"/>
      </rPr>
      <t>甘芝如、</t>
    </r>
    <r>
      <rPr>
        <b/>
        <sz val="9"/>
        <color theme="9" tint="-0.499984740745262"/>
        <rFont val="細明體"/>
        <family val="3"/>
        <charset val="136"/>
      </rPr>
      <t>林淑萍、</t>
    </r>
    <r>
      <rPr>
        <b/>
        <sz val="9"/>
        <color rgb="FFFF7C80"/>
        <rFont val="細明體"/>
        <family val="3"/>
        <charset val="136"/>
      </rPr>
      <t>洪唯婷、陳維德、</t>
    </r>
    <r>
      <rPr>
        <b/>
        <u/>
        <sz val="9"/>
        <rFont val="細明體"/>
        <family val="3"/>
        <charset val="136"/>
      </rPr>
      <t>顏如玉、許雅婷、李智淵</t>
    </r>
    <phoneticPr fontId="2" type="noConversion"/>
  </si>
  <si>
    <r>
      <rPr>
        <b/>
        <sz val="9"/>
        <color theme="9" tint="-0.499984740745262"/>
        <rFont val="細明體"/>
        <family val="3"/>
        <charset val="136"/>
      </rPr>
      <t>林美儒、</t>
    </r>
    <r>
      <rPr>
        <b/>
        <sz val="9"/>
        <color rgb="FF7030A0"/>
        <rFont val="細明體"/>
        <family val="3"/>
        <charset val="136"/>
      </rPr>
      <t>康騰芳、</t>
    </r>
    <r>
      <rPr>
        <b/>
        <sz val="9"/>
        <color rgb="FFFF7C80"/>
        <rFont val="細明體"/>
        <family val="3"/>
        <charset val="136"/>
      </rPr>
      <t>張佑丞、余沛晴、王賢正、</t>
    </r>
    <r>
      <rPr>
        <b/>
        <sz val="9"/>
        <color rgb="FF0070C0"/>
        <rFont val="細明體"/>
        <family val="3"/>
        <charset val="136"/>
      </rPr>
      <t>蘇孟珠</t>
    </r>
    <r>
      <rPr>
        <b/>
        <sz val="9"/>
        <color rgb="FFFF7C80"/>
        <rFont val="細明體"/>
        <family val="3"/>
        <charset val="136"/>
      </rPr>
      <t>、陳美惠、張敏慧、林宥均、</t>
    </r>
    <r>
      <rPr>
        <b/>
        <sz val="9"/>
        <color theme="9" tint="-0.499984740745262"/>
        <rFont val="細明體"/>
        <family val="3"/>
        <charset val="136"/>
      </rPr>
      <t>張萬華、</t>
    </r>
    <r>
      <rPr>
        <b/>
        <u/>
        <sz val="9"/>
        <rFont val="細明體"/>
        <family val="3"/>
        <charset val="136"/>
      </rPr>
      <t>李濟森</t>
    </r>
    <phoneticPr fontId="2" type="noConversion"/>
  </si>
  <si>
    <r>
      <rPr>
        <b/>
        <sz val="9"/>
        <color rgb="FF7030A0"/>
        <rFont val="細明體"/>
        <family val="3"/>
        <charset val="136"/>
      </rPr>
      <t>陳威任、</t>
    </r>
    <r>
      <rPr>
        <b/>
        <sz val="9"/>
        <color theme="9" tint="-0.499984740745262"/>
        <rFont val="細明體"/>
        <family val="3"/>
        <charset val="136"/>
      </rPr>
      <t>吳汶諭(留停)、</t>
    </r>
    <r>
      <rPr>
        <b/>
        <sz val="9"/>
        <color rgb="FFFF7C80"/>
        <rFont val="細明體"/>
        <family val="3"/>
        <charset val="136"/>
      </rPr>
      <t>李振巽、葉士瑋、林俊儒、</t>
    </r>
    <r>
      <rPr>
        <b/>
        <sz val="9"/>
        <color theme="9" tint="-0.499984740745262"/>
        <rFont val="細明體"/>
        <family val="3"/>
        <charset val="136"/>
      </rPr>
      <t>高淩鈴</t>
    </r>
    <phoneticPr fontId="2" type="noConversion"/>
  </si>
  <si>
    <t>楊宜升</t>
    <phoneticPr fontId="2" type="noConversion"/>
  </si>
  <si>
    <r>
      <rPr>
        <b/>
        <sz val="9"/>
        <color rgb="FF00B050"/>
        <rFont val="細明體"/>
        <family val="3"/>
        <charset val="136"/>
      </rPr>
      <t>陳麴合、黃蘭芝、</t>
    </r>
    <r>
      <rPr>
        <b/>
        <sz val="9"/>
        <color rgb="FF0070C0"/>
        <rFont val="細明體"/>
        <family val="3"/>
        <charset val="136"/>
      </rPr>
      <t>陳妙紅、</t>
    </r>
    <r>
      <rPr>
        <b/>
        <sz val="9"/>
        <color rgb="FF7030A0"/>
        <rFont val="細明體"/>
        <family val="3"/>
        <charset val="136"/>
      </rPr>
      <t>陳月梅、許志恆、曹琮閔、</t>
    </r>
    <r>
      <rPr>
        <b/>
        <sz val="9"/>
        <color theme="9" tint="-0.499984740745262"/>
        <rFont val="細明體"/>
        <family val="3"/>
        <charset val="136"/>
      </rPr>
      <t>張正芳、</t>
    </r>
    <r>
      <rPr>
        <b/>
        <sz val="9"/>
        <color rgb="FFFF7C80"/>
        <rFont val="細明體"/>
        <family val="3"/>
        <charset val="136"/>
      </rPr>
      <t>江素慧、</t>
    </r>
    <r>
      <rPr>
        <b/>
        <sz val="9"/>
        <color rgb="FF0070C0"/>
        <rFont val="細明體"/>
        <family val="3"/>
        <charset val="136"/>
      </rPr>
      <t>吳振銘(進)、</t>
    </r>
    <r>
      <rPr>
        <b/>
        <u/>
        <sz val="9"/>
        <rFont val="細明體"/>
        <family val="3"/>
        <charset val="136"/>
      </rPr>
      <t>官孟璋、張美惠、劉和師</t>
    </r>
    <phoneticPr fontId="2" type="noConversion"/>
  </si>
  <si>
    <r>
      <rPr>
        <b/>
        <sz val="9"/>
        <color rgb="FF00B050"/>
        <rFont val="細明體"/>
        <family val="3"/>
        <charset val="136"/>
      </rPr>
      <t>江曾為美、</t>
    </r>
    <r>
      <rPr>
        <b/>
        <sz val="9"/>
        <color rgb="FF0070C0"/>
        <rFont val="細明體"/>
        <family val="3"/>
        <charset val="136"/>
      </rPr>
      <t>施美言、</t>
    </r>
    <r>
      <rPr>
        <b/>
        <sz val="9"/>
        <color rgb="FFFF7C80"/>
        <rFont val="細明體"/>
        <family val="3"/>
        <charset val="136"/>
      </rPr>
      <t>林淑滿、歐郁玟、陳學毅、</t>
    </r>
    <r>
      <rPr>
        <b/>
        <sz val="9"/>
        <color theme="9" tint="-0.499984740745262"/>
        <rFont val="細明體"/>
        <family val="3"/>
        <charset val="136"/>
      </rPr>
      <t>周碧純、</t>
    </r>
    <r>
      <rPr>
        <b/>
        <sz val="9"/>
        <color rgb="FFFF7C80"/>
        <rFont val="細明體"/>
        <family val="3"/>
        <charset val="136"/>
      </rPr>
      <t>烏莎斯、</t>
    </r>
    <r>
      <rPr>
        <b/>
        <sz val="9"/>
        <color theme="9" tint="-0.499984740745262"/>
        <rFont val="細明體"/>
        <family val="3"/>
        <charset val="136"/>
      </rPr>
      <t>謝淑姿、</t>
    </r>
    <r>
      <rPr>
        <b/>
        <u/>
        <sz val="9"/>
        <rFont val="細明體"/>
        <family val="3"/>
        <charset val="136"/>
      </rPr>
      <t>黃文華</t>
    </r>
    <phoneticPr fontId="2" type="noConversion"/>
  </si>
  <si>
    <r>
      <rPr>
        <b/>
        <sz val="9"/>
        <color rgb="FF0070C0"/>
        <rFont val="細明體"/>
        <family val="3"/>
        <charset val="136"/>
      </rPr>
      <t>林宣融、許雅婷、</t>
    </r>
    <r>
      <rPr>
        <b/>
        <sz val="9"/>
        <color rgb="FFFF7C80"/>
        <rFont val="細明體"/>
        <family val="3"/>
        <charset val="136"/>
      </rPr>
      <t>李翠華、魏彙菁、沈恩典、林淑芬、</t>
    </r>
    <r>
      <rPr>
        <b/>
        <sz val="9"/>
        <color theme="9" tint="-0.499984740745262"/>
        <rFont val="細明體"/>
        <family val="3"/>
        <charset val="136"/>
      </rPr>
      <t>林秀峯、</t>
    </r>
    <r>
      <rPr>
        <b/>
        <sz val="9"/>
        <color rgb="FFFF7C80"/>
        <rFont val="細明體"/>
        <family val="3"/>
        <charset val="136"/>
      </rPr>
      <t>洪慧珊、</t>
    </r>
    <r>
      <rPr>
        <b/>
        <sz val="9"/>
        <color rgb="FF0070C0"/>
        <rFont val="細明體"/>
        <family val="3"/>
        <charset val="136"/>
      </rPr>
      <t>粘雅琪、</t>
    </r>
    <r>
      <rPr>
        <b/>
        <u/>
        <sz val="9"/>
        <rFont val="細明體"/>
        <family val="3"/>
        <charset val="136"/>
      </rPr>
      <t>張秋菊</t>
    </r>
    <phoneticPr fontId="2" type="noConversion"/>
  </si>
  <si>
    <r>
      <rPr>
        <b/>
        <sz val="9"/>
        <color rgb="FF7030A0"/>
        <rFont val="細明體"/>
        <family val="3"/>
        <charset val="136"/>
      </rPr>
      <t>田德洋、</t>
    </r>
    <r>
      <rPr>
        <b/>
        <sz val="9"/>
        <color rgb="FFFF7C80"/>
        <rFont val="細明體"/>
        <family val="3"/>
        <charset val="136"/>
      </rPr>
      <t>丁瑋君、王曉琪、王淑華</t>
    </r>
    <phoneticPr fontId="2" type="noConversion"/>
  </si>
  <si>
    <t>全校正式教師清單(綠字：主任、紫字：組長、藍字：科主任、粉字：導師、棕字：專任教師、底線黑字：進修部授課為主教師)</t>
    <phoneticPr fontId="2" type="noConversion"/>
  </si>
  <si>
    <r>
      <t>蔡雅雯、</t>
    </r>
    <r>
      <rPr>
        <b/>
        <sz val="9"/>
        <color rgb="FFFF7C80"/>
        <rFont val="細明體"/>
        <family val="3"/>
        <charset val="136"/>
      </rPr>
      <t>江亭儀(特教業務)</t>
    </r>
    <phoneticPr fontId="2" type="noConversion"/>
  </si>
  <si>
    <t>代理人員備註</t>
    <phoneticPr fontId="2" type="noConversion"/>
  </si>
  <si>
    <t>退休預估(人事室預先調查資料)</t>
    <phoneticPr fontId="2" type="noConversion"/>
  </si>
  <si>
    <t>*1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</si>
</sst>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9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sz val="20"/>
      <name val="新細明體"/>
      <family val="1"/>
      <charset val="136"/>
    </font>
    <font>
      <sz val="20"/>
      <name val="Times New Roman"/>
      <family val="1"/>
    </font>
    <font>
      <sz val="20"/>
      <color indexed="10"/>
      <name val="新細明體"/>
      <family val="1"/>
      <charset val="136"/>
    </font>
    <font>
      <sz val="13"/>
      <name val="新細明體"/>
      <family val="1"/>
      <charset val="136"/>
    </font>
    <font>
      <sz val="13"/>
      <name val="Arial"/>
      <family val="2"/>
    </font>
    <font>
      <sz val="13"/>
      <name val="細明體"/>
      <family val="3"/>
      <charset val="136"/>
    </font>
    <font>
      <sz val="16"/>
      <name val="標楷體"/>
      <family val="4"/>
      <charset val="136"/>
    </font>
    <font>
      <sz val="14"/>
      <name val="新細明體"/>
      <family val="1"/>
      <charset val="136"/>
    </font>
    <font>
      <sz val="16"/>
      <name val="Arial"/>
      <family val="2"/>
    </font>
    <font>
      <sz val="14"/>
      <color indexed="45"/>
      <name val="Arial"/>
      <family val="2"/>
    </font>
    <font>
      <sz val="12"/>
      <color indexed="12"/>
      <name val="新細明體"/>
      <family val="1"/>
      <charset val="136"/>
    </font>
    <font>
      <sz val="12"/>
      <color indexed="14"/>
      <name val="細明體"/>
      <family val="3"/>
      <charset val="136"/>
    </font>
    <font>
      <b/>
      <sz val="16"/>
      <name val="Arial"/>
      <family val="2"/>
    </font>
    <font>
      <b/>
      <sz val="12"/>
      <color indexed="8"/>
      <name val="Arial"/>
      <family val="2"/>
    </font>
    <font>
      <sz val="11"/>
      <name val="標楷體"/>
      <family val="4"/>
      <charset val="136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2"/>
      <name val="新細明體"/>
      <family val="1"/>
      <charset val="136"/>
    </font>
    <font>
      <sz val="16"/>
      <color rgb="FFFF0000"/>
      <name val="Arial"/>
      <family val="2"/>
    </font>
    <font>
      <sz val="16"/>
      <color rgb="FFFF00FF"/>
      <name val="Arial"/>
      <family val="2"/>
    </font>
    <font>
      <b/>
      <sz val="12"/>
      <color indexed="1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14"/>
      <name val="細明體"/>
      <family val="3"/>
      <charset val="136"/>
    </font>
    <font>
      <b/>
      <sz val="12"/>
      <color indexed="10"/>
      <name val="新細明體"/>
      <family val="1"/>
      <charset val="136"/>
    </font>
    <font>
      <b/>
      <sz val="12"/>
      <name val="細明體"/>
      <family val="3"/>
      <charset val="136"/>
    </font>
    <font>
      <b/>
      <sz val="12"/>
      <color rgb="FFFF0000"/>
      <name val="Arial"/>
      <family val="2"/>
    </font>
    <font>
      <sz val="14"/>
      <name val="標楷體"/>
      <family val="4"/>
      <charset val="136"/>
    </font>
    <font>
      <b/>
      <sz val="20"/>
      <color rgb="FFFF0000"/>
      <name val="Arial"/>
      <family val="2"/>
    </font>
    <font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color indexed="10"/>
      <name val="新細明體"/>
      <family val="1"/>
      <charset val="136"/>
      <scheme val="major"/>
    </font>
    <font>
      <sz val="12"/>
      <color rgb="FFFF0000"/>
      <name val="新細明體"/>
      <family val="1"/>
      <charset val="136"/>
    </font>
    <font>
      <sz val="12"/>
      <color rgb="FFFF0000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2"/>
      <color theme="0"/>
      <name val="Arial"/>
      <family val="2"/>
    </font>
    <font>
      <b/>
      <sz val="10"/>
      <color indexed="10"/>
      <name val="新細明體"/>
      <family val="1"/>
      <charset val="136"/>
      <scheme val="minor"/>
    </font>
    <font>
      <b/>
      <sz val="12"/>
      <color indexed="10"/>
      <name val="Arial"/>
      <family val="2"/>
    </font>
    <font>
      <sz val="12"/>
      <color theme="5" tint="-0.499984740745262"/>
      <name val="新細明體"/>
      <family val="1"/>
      <charset val="136"/>
    </font>
    <font>
      <strike/>
      <sz val="12"/>
      <color theme="5" tint="-0.499984740745262"/>
      <name val="新細明體"/>
      <family val="1"/>
      <charset val="136"/>
    </font>
    <font>
      <sz val="12"/>
      <color theme="5" tint="-0.499984740745262"/>
      <name val="Arial"/>
      <family val="2"/>
    </font>
    <font>
      <sz val="12"/>
      <color theme="5" tint="-0.499984740745262"/>
      <name val="細明體"/>
      <family val="3"/>
      <charset val="136"/>
    </font>
    <font>
      <sz val="12"/>
      <name val="細明體"/>
      <family val="2"/>
      <charset val="136"/>
    </font>
    <font>
      <sz val="12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b/>
      <sz val="12"/>
      <color rgb="FF00B050"/>
      <name val="新細明體"/>
      <family val="1"/>
      <charset val="136"/>
    </font>
    <font>
      <b/>
      <sz val="12"/>
      <color rgb="FF0070C0"/>
      <name val="新細明體"/>
      <family val="1"/>
      <charset val="136"/>
    </font>
    <font>
      <b/>
      <sz val="12"/>
      <color rgb="FF0070C0"/>
      <name val="Arial"/>
      <family val="2"/>
    </font>
    <font>
      <b/>
      <sz val="12"/>
      <color rgb="FF7030A0"/>
      <name val="新細明體"/>
      <family val="1"/>
      <charset val="136"/>
    </font>
    <font>
      <b/>
      <sz val="12"/>
      <color rgb="FF7030A0"/>
      <name val="Arial"/>
      <family val="2"/>
    </font>
    <font>
      <b/>
      <sz val="9"/>
      <color rgb="FFFFC000"/>
      <name val="新細明體"/>
      <family val="1"/>
      <charset val="136"/>
    </font>
    <font>
      <b/>
      <sz val="9"/>
      <color rgb="FFFFC000"/>
      <name val="Arial"/>
      <family val="2"/>
    </font>
    <font>
      <b/>
      <sz val="12"/>
      <color rgb="FFC00000"/>
      <name val="新細明體"/>
      <family val="1"/>
      <charset val="136"/>
    </font>
    <font>
      <b/>
      <sz val="12"/>
      <color rgb="FFC00000"/>
      <name val="Arial"/>
      <family val="2"/>
    </font>
    <font>
      <b/>
      <sz val="9"/>
      <name val="細明體"/>
      <family val="3"/>
      <charset val="136"/>
    </font>
    <font>
      <b/>
      <sz val="9"/>
      <color rgb="FF00B050"/>
      <name val="細明體"/>
      <family val="3"/>
      <charset val="136"/>
    </font>
    <font>
      <b/>
      <u/>
      <sz val="9"/>
      <name val="細明體"/>
      <family val="3"/>
      <charset val="136"/>
    </font>
    <font>
      <b/>
      <sz val="9"/>
      <color rgb="FF7030A0"/>
      <name val="細明體"/>
      <family val="3"/>
      <charset val="136"/>
    </font>
    <font>
      <b/>
      <sz val="9"/>
      <color theme="9" tint="-0.499984740745262"/>
      <name val="細明體"/>
      <family val="3"/>
      <charset val="136"/>
    </font>
    <font>
      <b/>
      <sz val="9"/>
      <color rgb="FF0070C0"/>
      <name val="細明體"/>
      <family val="3"/>
      <charset val="136"/>
    </font>
    <font>
      <b/>
      <sz val="10"/>
      <color rgb="FFFF0000"/>
      <name val="新細明體"/>
      <family val="1"/>
      <charset val="136"/>
    </font>
    <font>
      <b/>
      <sz val="12"/>
      <color theme="1"/>
      <name val="Arial"/>
      <family val="2"/>
    </font>
    <font>
      <b/>
      <sz val="11"/>
      <color indexed="10"/>
      <name val="新細明體"/>
      <family val="1"/>
      <charset val="136"/>
      <scheme val="major"/>
    </font>
    <font>
      <b/>
      <u/>
      <sz val="11"/>
      <color indexed="10"/>
      <name val="新細明體"/>
      <family val="1"/>
      <charset val="136"/>
      <scheme val="major"/>
    </font>
    <font>
      <sz val="10"/>
      <name val="Microsoft JhengHei"/>
      <family val="2"/>
    </font>
    <font>
      <b/>
      <sz val="11"/>
      <color rgb="FFFF0000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2"/>
      <color rgb="FF9C0006"/>
      <name val="新細明體"/>
      <family val="2"/>
      <charset val="136"/>
      <scheme val="minor"/>
    </font>
    <font>
      <sz val="12"/>
      <color theme="6" tint="-0.499984740745262"/>
      <name val="新細明體"/>
      <family val="1"/>
      <charset val="136"/>
    </font>
    <font>
      <sz val="20"/>
      <name val="標楷體"/>
      <family val="4"/>
      <charset val="136"/>
    </font>
    <font>
      <sz val="14"/>
      <name val="Times New Roman"/>
      <family val="1"/>
    </font>
    <font>
      <b/>
      <sz val="20"/>
      <name val="新細明體"/>
      <family val="1"/>
      <charset val="136"/>
    </font>
    <font>
      <sz val="11"/>
      <name val="新細明體"/>
      <family val="1"/>
      <charset val="136"/>
    </font>
    <font>
      <sz val="16"/>
      <name val="新細明體"/>
      <family val="1"/>
      <charset val="136"/>
    </font>
    <font>
      <sz val="14"/>
      <name val="Arial"/>
      <family val="2"/>
    </font>
    <font>
      <sz val="14"/>
      <color indexed="14"/>
      <name val="Arial"/>
      <family val="2"/>
    </font>
    <font>
      <sz val="14"/>
      <color indexed="12"/>
      <name val="Arial"/>
      <family val="2"/>
    </font>
    <font>
      <sz val="11"/>
      <name val="新細明體"/>
      <family val="1"/>
      <charset val="136"/>
      <scheme val="minor"/>
    </font>
    <font>
      <sz val="12"/>
      <name val="Arial Unicode MS"/>
      <family val="2"/>
      <charset val="136"/>
    </font>
    <font>
      <sz val="8"/>
      <name val="新細明體"/>
      <family val="1"/>
      <charset val="136"/>
    </font>
    <font>
      <b/>
      <sz val="20"/>
      <name val="Arial"/>
      <family val="2"/>
    </font>
    <font>
      <b/>
      <sz val="18"/>
      <name val="新細明體"/>
      <family val="1"/>
      <charset val="136"/>
    </font>
    <font>
      <b/>
      <sz val="9"/>
      <color rgb="FFFF7C80"/>
      <name val="細明體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ck">
        <color indexed="64"/>
      </bottom>
      <diagonal/>
    </border>
    <border>
      <left style="dashed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1" fillId="19" borderId="0" applyNumberFormat="0" applyBorder="0" applyAlignment="0" applyProtection="0">
      <alignment vertical="center"/>
    </xf>
  </cellStyleXfs>
  <cellXfs count="66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6" fillId="0" borderId="2" xfId="0" applyFont="1" applyBorder="1" applyAlignment="1">
      <alignment vertical="center"/>
    </xf>
    <xf numFmtId="0" fontId="3" fillId="0" borderId="0" xfId="0" applyFont="1"/>
    <xf numFmtId="0" fontId="4" fillId="0" borderId="7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4" fillId="0" borderId="19" xfId="0" applyFont="1" applyBorder="1"/>
    <xf numFmtId="0" fontId="8" fillId="0" borderId="1" xfId="0" applyFont="1" applyBorder="1" applyAlignment="1">
      <alignment horizontal="left"/>
    </xf>
    <xf numFmtId="0" fontId="13" fillId="0" borderId="22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3" fillId="0" borderId="23" xfId="0" applyFont="1" applyBorder="1" applyAlignment="1">
      <alignment vertical="center" wrapText="1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22" fillId="0" borderId="10" xfId="0" applyFont="1" applyBorder="1"/>
    <xf numFmtId="0" fontId="22" fillId="3" borderId="39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6" borderId="5" xfId="0" applyFill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36" xfId="0" applyFont="1" applyBorder="1" applyAlignment="1">
      <alignment vertical="center"/>
    </xf>
    <xf numFmtId="0" fontId="33" fillId="0" borderId="43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38" fillId="0" borderId="10" xfId="0" applyFont="1" applyBorder="1" applyAlignment="1">
      <alignment vertical="center" wrapText="1"/>
    </xf>
    <xf numFmtId="0" fontId="39" fillId="0" borderId="10" xfId="0" applyFont="1" applyBorder="1" applyAlignment="1">
      <alignment vertical="center"/>
    </xf>
    <xf numFmtId="0" fontId="39" fillId="8" borderId="4" xfId="0" applyFont="1" applyFill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39" fillId="0" borderId="10" xfId="0" applyFont="1" applyBorder="1" applyAlignment="1">
      <alignment vertical="center" wrapText="1"/>
    </xf>
    <xf numFmtId="0" fontId="39" fillId="0" borderId="4" xfId="0" applyFont="1" applyBorder="1" applyAlignment="1">
      <alignment vertical="center"/>
    </xf>
    <xf numFmtId="0" fontId="39" fillId="7" borderId="14" xfId="0" applyFont="1" applyFill="1" applyBorder="1" applyAlignment="1">
      <alignment vertical="center"/>
    </xf>
    <xf numFmtId="0" fontId="40" fillId="0" borderId="14" xfId="0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41" fillId="0" borderId="10" xfId="0" applyFont="1" applyBorder="1" applyAlignment="1">
      <alignment vertical="center"/>
    </xf>
    <xf numFmtId="176" fontId="34" fillId="5" borderId="25" xfId="0" applyNumberFormat="1" applyFont="1" applyFill="1" applyBorder="1" applyAlignment="1">
      <alignment horizontal="right" vertical="center"/>
    </xf>
    <xf numFmtId="176" fontId="15" fillId="5" borderId="25" xfId="0" applyNumberFormat="1" applyFont="1" applyFill="1" applyBorder="1" applyAlignment="1">
      <alignment horizontal="right" vertical="center"/>
    </xf>
    <xf numFmtId="176" fontId="26" fillId="5" borderId="42" xfId="0" applyNumberFormat="1" applyFont="1" applyFill="1" applyBorder="1" applyAlignment="1">
      <alignment horizontal="right" vertical="center"/>
    </xf>
    <xf numFmtId="176" fontId="19" fillId="9" borderId="10" xfId="0" applyNumberFormat="1" applyFont="1" applyFill="1" applyBorder="1" applyAlignment="1">
      <alignment horizontal="right" vertical="center"/>
    </xf>
    <xf numFmtId="176" fontId="19" fillId="9" borderId="41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13" xfId="0" applyFont="1" applyBorder="1" applyAlignment="1">
      <alignment vertical="center"/>
    </xf>
    <xf numFmtId="0" fontId="44" fillId="10" borderId="0" xfId="0" applyFont="1" applyFill="1"/>
    <xf numFmtId="0" fontId="4" fillId="2" borderId="5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0" fillId="2" borderId="52" xfId="0" applyFont="1" applyFill="1" applyBorder="1" applyAlignment="1">
      <alignment horizontal="center" vertical="center"/>
    </xf>
    <xf numFmtId="0" fontId="40" fillId="2" borderId="53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0" fontId="32" fillId="2" borderId="65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32" fillId="3" borderId="59" xfId="0" applyFon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40" fillId="3" borderId="52" xfId="0" applyFont="1" applyFill="1" applyBorder="1" applyAlignment="1">
      <alignment horizontal="center" vertical="center"/>
    </xf>
    <xf numFmtId="0" fontId="40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vertical="center"/>
    </xf>
    <xf numFmtId="0" fontId="4" fillId="4" borderId="51" xfId="0" applyFont="1" applyFill="1" applyBorder="1" applyAlignment="1">
      <alignment vertical="center"/>
    </xf>
    <xf numFmtId="0" fontId="40" fillId="4" borderId="53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/>
    </xf>
    <xf numFmtId="0" fontId="40" fillId="4" borderId="56" xfId="0" applyFont="1" applyFill="1" applyBorder="1" applyAlignment="1">
      <alignment horizontal="center" vertical="center"/>
    </xf>
    <xf numFmtId="0" fontId="40" fillId="4" borderId="57" xfId="0" applyFont="1" applyFill="1" applyBorder="1" applyAlignment="1">
      <alignment horizontal="center" vertical="center"/>
    </xf>
    <xf numFmtId="0" fontId="40" fillId="4" borderId="64" xfId="0" applyFont="1" applyFill="1" applyBorder="1" applyAlignment="1">
      <alignment horizontal="center" vertical="center"/>
    </xf>
    <xf numFmtId="0" fontId="40" fillId="4" borderId="65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right" vertical="center"/>
    </xf>
    <xf numFmtId="0" fontId="44" fillId="0" borderId="0" xfId="0" applyFont="1"/>
    <xf numFmtId="0" fontId="4" fillId="2" borderId="50" xfId="0" applyFont="1" applyFill="1" applyBorder="1" applyAlignment="1">
      <alignment vertical="center"/>
    </xf>
    <xf numFmtId="0" fontId="4" fillId="2" borderId="51" xfId="0" applyFont="1" applyFill="1" applyBorder="1" applyAlignment="1">
      <alignment vertical="center"/>
    </xf>
    <xf numFmtId="0" fontId="0" fillId="4" borderId="70" xfId="0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39" fillId="8" borderId="10" xfId="0" applyFont="1" applyFill="1" applyBorder="1" applyAlignment="1">
      <alignment vertical="center"/>
    </xf>
    <xf numFmtId="0" fontId="32" fillId="2" borderId="53" xfId="0" applyFont="1" applyFill="1" applyBorder="1" applyAlignment="1">
      <alignment horizontal="center" vertical="center"/>
    </xf>
    <xf numFmtId="0" fontId="45" fillId="0" borderId="10" xfId="0" applyFont="1" applyBorder="1" applyAlignment="1">
      <alignment vertical="center" wrapText="1"/>
    </xf>
    <xf numFmtId="0" fontId="4" fillId="2" borderId="30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/>
    </xf>
    <xf numFmtId="0" fontId="4" fillId="2" borderId="74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32" fillId="2" borderId="76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30" xfId="0" applyFont="1" applyFill="1" applyBorder="1" applyAlignment="1">
      <alignment horizontal="center" vertical="center"/>
    </xf>
    <xf numFmtId="0" fontId="4" fillId="11" borderId="0" xfId="0" applyFont="1" applyFill="1"/>
    <xf numFmtId="0" fontId="22" fillId="0" borderId="0" xfId="0" applyFont="1"/>
    <xf numFmtId="0" fontId="46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0" fillId="4" borderId="68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12" borderId="0" xfId="0" applyFont="1" applyFill="1"/>
    <xf numFmtId="0" fontId="3" fillId="12" borderId="0" xfId="0" applyFont="1" applyFill="1"/>
    <xf numFmtId="0" fontId="47" fillId="12" borderId="10" xfId="0" applyFont="1" applyFill="1" applyBorder="1" applyAlignment="1">
      <alignment vertical="center"/>
    </xf>
    <xf numFmtId="0" fontId="47" fillId="12" borderId="10" xfId="0" applyFont="1" applyFill="1" applyBorder="1" applyAlignment="1">
      <alignment vertical="center" wrapText="1"/>
    </xf>
    <xf numFmtId="0" fontId="48" fillId="12" borderId="10" xfId="0" applyFont="1" applyFill="1" applyBorder="1" applyAlignment="1">
      <alignment vertical="center" wrapText="1"/>
    </xf>
    <xf numFmtId="0" fontId="49" fillId="12" borderId="10" xfId="0" applyFont="1" applyFill="1" applyBorder="1" applyAlignment="1">
      <alignment horizontal="right" vertical="center"/>
    </xf>
    <xf numFmtId="0" fontId="49" fillId="12" borderId="12" xfId="0" applyFont="1" applyFill="1" applyBorder="1" applyAlignment="1">
      <alignment horizontal="right" vertical="center"/>
    </xf>
    <xf numFmtId="0" fontId="49" fillId="12" borderId="0" xfId="0" applyFont="1" applyFill="1"/>
    <xf numFmtId="0" fontId="50" fillId="12" borderId="0" xfId="0" applyFont="1" applyFill="1"/>
    <xf numFmtId="0" fontId="0" fillId="13" borderId="10" xfId="0" applyFill="1" applyBorder="1" applyAlignment="1">
      <alignment vertical="center"/>
    </xf>
    <xf numFmtId="0" fontId="42" fillId="2" borderId="52" xfId="0" applyFont="1" applyFill="1" applyBorder="1" applyAlignment="1">
      <alignment horizontal="center" vertical="center"/>
    </xf>
    <xf numFmtId="0" fontId="42" fillId="2" borderId="53" xfId="0" applyFont="1" applyFill="1" applyBorder="1" applyAlignment="1">
      <alignment horizontal="center" vertical="center"/>
    </xf>
    <xf numFmtId="0" fontId="42" fillId="3" borderId="52" xfId="0" applyFont="1" applyFill="1" applyBorder="1" applyAlignment="1">
      <alignment horizontal="center" vertical="center"/>
    </xf>
    <xf numFmtId="0" fontId="42" fillId="3" borderId="53" xfId="0" applyFont="1" applyFill="1" applyBorder="1" applyAlignment="1">
      <alignment horizontal="center" vertical="center"/>
    </xf>
    <xf numFmtId="0" fontId="42" fillId="0" borderId="10" xfId="0" applyFont="1" applyBorder="1" applyAlignment="1">
      <alignment horizontal="right" vertical="center"/>
    </xf>
    <xf numFmtId="0" fontId="42" fillId="0" borderId="14" xfId="0" applyFont="1" applyBorder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0" fillId="0" borderId="79" xfId="0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6" borderId="64" xfId="0" applyFill="1" applyBorder="1" applyAlignment="1">
      <alignment vertical="center"/>
    </xf>
    <xf numFmtId="0" fontId="0" fillId="6" borderId="65" xfId="0" applyFill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65" xfId="0" applyFont="1" applyBorder="1" applyAlignment="1">
      <alignment vertical="center"/>
    </xf>
    <xf numFmtId="0" fontId="0" fillId="0" borderId="52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5" fillId="15" borderId="10" xfId="0" applyFont="1" applyFill="1" applyBorder="1" applyAlignment="1">
      <alignment horizontal="right" vertical="center"/>
    </xf>
    <xf numFmtId="0" fontId="25" fillId="15" borderId="41" xfId="0" applyFont="1" applyFill="1" applyBorder="1" applyAlignment="1">
      <alignment horizontal="right" vertical="center"/>
    </xf>
    <xf numFmtId="0" fontId="0" fillId="6" borderId="52" xfId="0" applyFill="1" applyBorder="1" applyAlignment="1">
      <alignment vertical="center"/>
    </xf>
    <xf numFmtId="0" fontId="0" fillId="6" borderId="53" xfId="0" applyFill="1" applyBorder="1" applyAlignment="1">
      <alignment vertical="center"/>
    </xf>
    <xf numFmtId="0" fontId="43" fillId="15" borderId="80" xfId="0" applyFont="1" applyFill="1" applyBorder="1" applyAlignment="1">
      <alignment horizontal="right" vertical="center"/>
    </xf>
    <xf numFmtId="0" fontId="43" fillId="15" borderId="10" xfId="0" applyFont="1" applyFill="1" applyBorder="1" applyAlignment="1">
      <alignment horizontal="right" vertical="center"/>
    </xf>
    <xf numFmtId="0" fontId="43" fillId="15" borderId="81" xfId="0" applyFont="1" applyFill="1" applyBorder="1" applyAlignment="1">
      <alignment horizontal="right" vertical="center"/>
    </xf>
    <xf numFmtId="0" fontId="43" fillId="15" borderId="41" xfId="0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13" fillId="0" borderId="21" xfId="0" applyFont="1" applyBorder="1" applyAlignment="1">
      <alignment vertical="center"/>
    </xf>
    <xf numFmtId="0" fontId="1" fillId="0" borderId="0" xfId="0" applyFont="1"/>
    <xf numFmtId="0" fontId="0" fillId="4" borderId="14" xfId="0" applyFill="1" applyBorder="1" applyAlignment="1">
      <alignment horizontal="center"/>
    </xf>
    <xf numFmtId="0" fontId="0" fillId="3" borderId="81" xfId="0" applyFill="1" applyBorder="1" applyAlignment="1">
      <alignment horizontal="center"/>
    </xf>
    <xf numFmtId="0" fontId="0" fillId="3" borderId="42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/>
    </xf>
    <xf numFmtId="0" fontId="53" fillId="16" borderId="88" xfId="0" applyFont="1" applyFill="1" applyBorder="1" applyAlignment="1">
      <alignment horizontal="center"/>
    </xf>
    <xf numFmtId="0" fontId="53" fillId="4" borderId="82" xfId="0" applyFont="1" applyFill="1" applyBorder="1" applyAlignment="1">
      <alignment horizontal="center"/>
    </xf>
    <xf numFmtId="0" fontId="53" fillId="3" borderId="84" xfId="0" applyFont="1" applyFill="1" applyBorder="1" applyAlignment="1">
      <alignment horizontal="center"/>
    </xf>
    <xf numFmtId="0" fontId="53" fillId="3" borderId="83" xfId="0" applyFont="1" applyFill="1" applyBorder="1" applyAlignment="1">
      <alignment horizontal="center"/>
    </xf>
    <xf numFmtId="0" fontId="53" fillId="16" borderId="84" xfId="0" applyFont="1" applyFill="1" applyBorder="1" applyAlignment="1">
      <alignment horizontal="center"/>
    </xf>
    <xf numFmtId="0" fontId="53" fillId="16" borderId="29" xfId="0" applyFont="1" applyFill="1" applyBorder="1" applyAlignment="1">
      <alignment horizontal="center"/>
    </xf>
    <xf numFmtId="0" fontId="54" fillId="0" borderId="29" xfId="0" applyFont="1" applyBorder="1" applyAlignment="1">
      <alignment vertical="center"/>
    </xf>
    <xf numFmtId="0" fontId="17" fillId="0" borderId="86" xfId="0" applyFont="1" applyBorder="1" applyAlignment="1">
      <alignment vertical="center"/>
    </xf>
    <xf numFmtId="0" fontId="0" fillId="0" borderId="92" xfId="0" applyBorder="1" applyAlignment="1">
      <alignment vertical="center"/>
    </xf>
    <xf numFmtId="0" fontId="53" fillId="4" borderId="80" xfId="0" applyFont="1" applyFill="1" applyBorder="1" applyAlignment="1">
      <alignment horizontal="center"/>
    </xf>
    <xf numFmtId="0" fontId="53" fillId="3" borderId="15" xfId="0" applyFont="1" applyFill="1" applyBorder="1" applyAlignment="1">
      <alignment horizontal="center"/>
    </xf>
    <xf numFmtId="0" fontId="53" fillId="3" borderId="25" xfId="0" applyFont="1" applyFill="1" applyBorder="1" applyAlignment="1">
      <alignment horizontal="center"/>
    </xf>
    <xf numFmtId="0" fontId="53" fillId="16" borderId="15" xfId="0" applyFont="1" applyFill="1" applyBorder="1" applyAlignment="1">
      <alignment horizontal="center"/>
    </xf>
    <xf numFmtId="0" fontId="53" fillId="16" borderId="93" xfId="0" applyFont="1" applyFill="1" applyBorder="1" applyAlignment="1">
      <alignment horizontal="center"/>
    </xf>
    <xf numFmtId="0" fontId="17" fillId="0" borderId="94" xfId="0" applyFont="1" applyBorder="1" applyAlignment="1">
      <alignment vertical="center"/>
    </xf>
    <xf numFmtId="0" fontId="1" fillId="0" borderId="10" xfId="0" applyFont="1" applyBorder="1"/>
    <xf numFmtId="0" fontId="39" fillId="0" borderId="92" xfId="0" applyFont="1" applyBorder="1" applyAlignment="1">
      <alignment vertical="center"/>
    </xf>
    <xf numFmtId="0" fontId="1" fillId="0" borderId="94" xfId="0" applyFont="1" applyBorder="1" applyAlignment="1">
      <alignment vertical="center"/>
    </xf>
    <xf numFmtId="0" fontId="0" fillId="0" borderId="95" xfId="0" applyBorder="1" applyAlignment="1">
      <alignment vertical="center"/>
    </xf>
    <xf numFmtId="0" fontId="53" fillId="4" borderId="81" xfId="0" applyFont="1" applyFill="1" applyBorder="1" applyAlignment="1">
      <alignment horizontal="center"/>
    </xf>
    <xf numFmtId="0" fontId="53" fillId="3" borderId="96" xfId="0" applyFont="1" applyFill="1" applyBorder="1" applyAlignment="1">
      <alignment horizontal="center"/>
    </xf>
    <xf numFmtId="0" fontId="53" fillId="3" borderId="42" xfId="0" applyFont="1" applyFill="1" applyBorder="1" applyAlignment="1">
      <alignment horizontal="center"/>
    </xf>
    <xf numFmtId="0" fontId="53" fillId="16" borderId="96" xfId="0" applyFont="1" applyFill="1" applyBorder="1" applyAlignment="1">
      <alignment horizontal="center"/>
    </xf>
    <xf numFmtId="0" fontId="53" fillId="16" borderId="97" xfId="0" applyFont="1" applyFill="1" applyBorder="1" applyAlignment="1">
      <alignment horizontal="center"/>
    </xf>
    <xf numFmtId="0" fontId="1" fillId="0" borderId="90" xfId="0" applyFont="1" applyBorder="1" applyAlignment="1">
      <alignment vertical="center"/>
    </xf>
    <xf numFmtId="0" fontId="53" fillId="3" borderId="33" xfId="0" applyFont="1" applyFill="1" applyBorder="1" applyAlignment="1">
      <alignment horizontal="center"/>
    </xf>
    <xf numFmtId="0" fontId="53" fillId="3" borderId="31" xfId="0" applyFont="1" applyFill="1" applyBorder="1" applyAlignment="1">
      <alignment horizontal="center"/>
    </xf>
    <xf numFmtId="0" fontId="54" fillId="0" borderId="98" xfId="0" applyFont="1" applyBorder="1" applyAlignment="1">
      <alignment vertical="center"/>
    </xf>
    <xf numFmtId="0" fontId="53" fillId="4" borderId="99" xfId="0" applyFont="1" applyFill="1" applyBorder="1" applyAlignment="1">
      <alignment horizontal="center"/>
    </xf>
    <xf numFmtId="0" fontId="53" fillId="16" borderId="13" xfId="0" applyFont="1" applyFill="1" applyBorder="1" applyAlignment="1">
      <alignment horizontal="center"/>
    </xf>
    <xf numFmtId="0" fontId="53" fillId="16" borderId="100" xfId="0" applyFont="1" applyFill="1" applyBorder="1" applyAlignment="1">
      <alignment horizontal="center"/>
    </xf>
    <xf numFmtId="0" fontId="1" fillId="0" borderId="27" xfId="0" applyFont="1" applyBorder="1" applyAlignment="1">
      <alignment vertical="center"/>
    </xf>
    <xf numFmtId="0" fontId="53" fillId="16" borderId="28" xfId="0" applyFont="1" applyFill="1" applyBorder="1" applyAlignment="1">
      <alignment horizontal="center"/>
    </xf>
    <xf numFmtId="0" fontId="53" fillId="16" borderId="30" xfId="0" applyFont="1" applyFill="1" applyBorder="1" applyAlignment="1">
      <alignment horizontal="center"/>
    </xf>
    <xf numFmtId="0" fontId="53" fillId="4" borderId="101" xfId="0" applyFont="1" applyFill="1" applyBorder="1" applyAlignment="1">
      <alignment horizontal="center"/>
    </xf>
    <xf numFmtId="0" fontId="53" fillId="16" borderId="16" xfId="0" applyFont="1" applyFill="1" applyBorder="1" applyAlignment="1">
      <alignment horizontal="center"/>
    </xf>
    <xf numFmtId="0" fontId="53" fillId="16" borderId="72" xfId="0" applyFont="1" applyFill="1" applyBorder="1" applyAlignment="1">
      <alignment horizontal="center"/>
    </xf>
    <xf numFmtId="0" fontId="53" fillId="16" borderId="33" xfId="0" applyFont="1" applyFill="1" applyBorder="1" applyAlignment="1">
      <alignment horizontal="center"/>
    </xf>
    <xf numFmtId="0" fontId="53" fillId="16" borderId="1" xfId="0" applyFont="1" applyFill="1" applyBorder="1" applyAlignment="1">
      <alignment horizontal="center"/>
    </xf>
    <xf numFmtId="0" fontId="54" fillId="0" borderId="22" xfId="0" applyFont="1" applyBorder="1" applyAlignment="1">
      <alignment vertical="center"/>
    </xf>
    <xf numFmtId="0" fontId="53" fillId="16" borderId="102" xfId="0" applyFont="1" applyFill="1" applyBorder="1" applyAlignment="1">
      <alignment horizontal="center"/>
    </xf>
    <xf numFmtId="0" fontId="0" fillId="0" borderId="72" xfId="0" applyBorder="1" applyAlignment="1">
      <alignment vertical="center"/>
    </xf>
    <xf numFmtId="0" fontId="39" fillId="16" borderId="30" xfId="0" applyFont="1" applyFill="1" applyBorder="1" applyAlignment="1">
      <alignment horizontal="center"/>
    </xf>
    <xf numFmtId="0" fontId="39" fillId="0" borderId="30" xfId="0" applyFont="1" applyBorder="1" applyAlignment="1">
      <alignment vertical="center"/>
    </xf>
    <xf numFmtId="0" fontId="17" fillId="0" borderId="103" xfId="0" applyFont="1" applyBorder="1" applyAlignment="1">
      <alignment vertical="center"/>
    </xf>
    <xf numFmtId="0" fontId="17" fillId="0" borderId="104" xfId="0" applyFont="1" applyBorder="1" applyAlignment="1">
      <alignment vertical="center"/>
    </xf>
    <xf numFmtId="0" fontId="53" fillId="4" borderId="105" xfId="0" applyFont="1" applyFill="1" applyBorder="1" applyAlignment="1">
      <alignment horizontal="center"/>
    </xf>
    <xf numFmtId="0" fontId="1" fillId="0" borderId="95" xfId="0" applyFont="1" applyBorder="1" applyAlignment="1">
      <alignment vertical="center"/>
    </xf>
    <xf numFmtId="0" fontId="53" fillId="3" borderId="106" xfId="0" applyFont="1" applyFill="1" applyBorder="1" applyAlignment="1">
      <alignment horizontal="center"/>
    </xf>
    <xf numFmtId="0" fontId="53" fillId="3" borderId="107" xfId="0" applyFont="1" applyFill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89" xfId="0" applyFont="1" applyBorder="1" applyAlignment="1">
      <alignment horizontal="center"/>
    </xf>
    <xf numFmtId="0" fontId="52" fillId="4" borderId="33" xfId="0" applyFont="1" applyFill="1" applyBorder="1" applyAlignment="1">
      <alignment horizontal="center"/>
    </xf>
    <xf numFmtId="0" fontId="52" fillId="4" borderId="4" xfId="0" applyFont="1" applyFill="1" applyBorder="1" applyAlignment="1">
      <alignment horizontal="center"/>
    </xf>
    <xf numFmtId="0" fontId="52" fillId="4" borderId="108" xfId="0" applyFont="1" applyFill="1" applyBorder="1" applyAlignment="1">
      <alignment horizontal="center"/>
    </xf>
    <xf numFmtId="0" fontId="52" fillId="4" borderId="106" xfId="0" applyFont="1" applyFill="1" applyBorder="1" applyAlignment="1">
      <alignment horizontal="center"/>
    </xf>
    <xf numFmtId="0" fontId="52" fillId="4" borderId="89" xfId="0" applyFont="1" applyFill="1" applyBorder="1"/>
    <xf numFmtId="0" fontId="52" fillId="4" borderId="32" xfId="0" applyFont="1" applyFill="1" applyBorder="1"/>
    <xf numFmtId="0" fontId="4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left" vertical="top" wrapText="1"/>
    </xf>
    <xf numFmtId="0" fontId="58" fillId="0" borderId="4" xfId="0" applyFont="1" applyBorder="1" applyAlignment="1">
      <alignment horizontal="center" vertical="center" wrapText="1"/>
    </xf>
    <xf numFmtId="0" fontId="67" fillId="0" borderId="10" xfId="0" applyFont="1" applyBorder="1" applyAlignment="1">
      <alignment horizontal="left" vertical="center" wrapText="1"/>
    </xf>
    <xf numFmtId="0" fontId="72" fillId="0" borderId="10" xfId="0" applyFont="1" applyBorder="1" applyAlignment="1">
      <alignment horizontal="left" vertical="center" wrapText="1"/>
    </xf>
    <xf numFmtId="0" fontId="73" fillId="0" borderId="10" xfId="0" applyFont="1" applyBorder="1" applyAlignment="1">
      <alignment vertical="center" wrapText="1"/>
    </xf>
    <xf numFmtId="0" fontId="74" fillId="3" borderId="39" xfId="0" applyFont="1" applyFill="1" applyBorder="1" applyAlignment="1">
      <alignment horizontal="center" vertical="center"/>
    </xf>
    <xf numFmtId="0" fontId="74" fillId="3" borderId="30" xfId="0" applyFont="1" applyFill="1" applyBorder="1" applyAlignment="1">
      <alignment horizontal="center" vertical="center"/>
    </xf>
    <xf numFmtId="0" fontId="75" fillId="0" borderId="10" xfId="0" applyFont="1" applyBorder="1" applyAlignment="1">
      <alignment vertical="center" wrapText="1"/>
    </xf>
    <xf numFmtId="0" fontId="77" fillId="0" borderId="10" xfId="0" applyFont="1" applyBorder="1" applyAlignment="1">
      <alignment horizontal="left" vertical="top" wrapText="1"/>
    </xf>
    <xf numFmtId="176" fontId="19" fillId="6" borderId="15" xfId="0" applyNumberFormat="1" applyFont="1" applyFill="1" applyBorder="1" applyAlignment="1">
      <alignment horizontal="right" vertical="center"/>
    </xf>
    <xf numFmtId="176" fontId="19" fillId="6" borderId="96" xfId="0" applyNumberFormat="1" applyFont="1" applyFill="1" applyBorder="1" applyAlignment="1">
      <alignment horizontal="right" vertical="center"/>
    </xf>
    <xf numFmtId="0" fontId="25" fillId="17" borderId="110" xfId="0" applyFont="1" applyFill="1" applyBorder="1" applyAlignment="1">
      <alignment horizontal="right" vertical="center"/>
    </xf>
    <xf numFmtId="0" fontId="4" fillId="18" borderId="0" xfId="0" applyFont="1" applyFill="1"/>
    <xf numFmtId="177" fontId="34" fillId="18" borderId="110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43" fillId="15" borderId="4" xfId="0" applyFont="1" applyFill="1" applyBorder="1" applyAlignment="1">
      <alignment horizontal="right" vertical="center"/>
    </xf>
    <xf numFmtId="0" fontId="25" fillId="15" borderId="4" xfId="0" applyFont="1" applyFill="1" applyBorder="1" applyAlignment="1">
      <alignment horizontal="right" vertical="center"/>
    </xf>
    <xf numFmtId="0" fontId="25" fillId="15" borderId="31" xfId="0" applyFont="1" applyFill="1" applyBorder="1" applyAlignment="1">
      <alignment horizontal="right" vertical="center"/>
    </xf>
    <xf numFmtId="0" fontId="43" fillId="14" borderId="32" xfId="0" applyFont="1" applyFill="1" applyBorder="1" applyAlignment="1">
      <alignment horizontal="right" vertical="center"/>
    </xf>
    <xf numFmtId="0" fontId="25" fillId="14" borderId="32" xfId="0" applyFont="1" applyFill="1" applyBorder="1" applyAlignment="1">
      <alignment horizontal="right" vertical="center"/>
    </xf>
    <xf numFmtId="0" fontId="43" fillId="14" borderId="110" xfId="0" applyFont="1" applyFill="1" applyBorder="1" applyAlignment="1">
      <alignment horizontal="right" vertical="center"/>
    </xf>
    <xf numFmtId="0" fontId="25" fillId="14" borderId="110" xfId="0" applyFont="1" applyFill="1" applyBorder="1" applyAlignment="1">
      <alignment horizontal="right" vertical="center"/>
    </xf>
    <xf numFmtId="0" fontId="40" fillId="3" borderId="64" xfId="0" applyFont="1" applyFill="1" applyBorder="1" applyAlignment="1">
      <alignment horizontal="center" vertical="center"/>
    </xf>
    <xf numFmtId="0" fontId="25" fillId="20" borderId="32" xfId="0" applyFont="1" applyFill="1" applyBorder="1" applyAlignment="1">
      <alignment horizontal="right" vertical="center"/>
    </xf>
    <xf numFmtId="0" fontId="25" fillId="20" borderId="110" xfId="0" applyFont="1" applyFill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1" fillId="0" borderId="0" xfId="0" applyFont="1" applyBorder="1"/>
    <xf numFmtId="14" fontId="1" fillId="0" borderId="0" xfId="0" applyNumberFormat="1" applyFont="1" applyBorder="1" applyAlignment="1">
      <alignment shrinkToFit="1"/>
    </xf>
    <xf numFmtId="0" fontId="0" fillId="0" borderId="27" xfId="0" applyFont="1" applyBorder="1" applyAlignment="1">
      <alignment vertical="center"/>
    </xf>
    <xf numFmtId="0" fontId="53" fillId="4" borderId="111" xfId="0" applyFont="1" applyFill="1" applyBorder="1" applyAlignment="1">
      <alignment horizontal="center"/>
    </xf>
    <xf numFmtId="0" fontId="53" fillId="4" borderId="29" xfId="0" applyFont="1" applyFill="1" applyBorder="1" applyAlignment="1">
      <alignment horizontal="center"/>
    </xf>
    <xf numFmtId="0" fontId="0" fillId="0" borderId="33" xfId="0" applyFont="1" applyFill="1" applyBorder="1"/>
    <xf numFmtId="0" fontId="0" fillId="0" borderId="10" xfId="0" applyFont="1" applyBorder="1"/>
    <xf numFmtId="0" fontId="53" fillId="4" borderId="10" xfId="0" applyFont="1" applyFill="1" applyBorder="1" applyAlignment="1">
      <alignment horizontal="center"/>
    </xf>
    <xf numFmtId="0" fontId="53" fillId="4" borderId="93" xfId="0" applyFont="1" applyFill="1" applyBorder="1" applyAlignment="1">
      <alignment horizontal="center"/>
    </xf>
    <xf numFmtId="0" fontId="0" fillId="0" borderId="15" xfId="0" applyFont="1" applyFill="1" applyBorder="1"/>
    <xf numFmtId="0" fontId="0" fillId="0" borderId="0" xfId="0" applyFont="1" applyFill="1" applyBorder="1"/>
    <xf numFmtId="0" fontId="0" fillId="0" borderId="15" xfId="0" applyFill="1" applyBorder="1"/>
    <xf numFmtId="0" fontId="0" fillId="0" borderId="10" xfId="0" applyFont="1" applyFill="1" applyBorder="1"/>
    <xf numFmtId="0" fontId="0" fillId="0" borderId="95" xfId="0" applyFont="1" applyBorder="1" applyAlignment="1">
      <alignment vertical="center"/>
    </xf>
    <xf numFmtId="0" fontId="53" fillId="4" borderId="41" xfId="0" applyFont="1" applyFill="1" applyBorder="1" applyAlignment="1">
      <alignment horizontal="center"/>
    </xf>
    <xf numFmtId="0" fontId="53" fillId="4" borderId="97" xfId="0" applyFont="1" applyFill="1" applyBorder="1" applyAlignment="1">
      <alignment horizontal="center"/>
    </xf>
    <xf numFmtId="0" fontId="0" fillId="0" borderId="92" xfId="0" applyFont="1" applyBorder="1" applyAlignment="1">
      <alignment vertical="center"/>
    </xf>
    <xf numFmtId="0" fontId="17" fillId="0" borderId="86" xfId="0" applyFont="1" applyFill="1" applyBorder="1" applyAlignment="1">
      <alignment vertical="center"/>
    </xf>
    <xf numFmtId="0" fontId="0" fillId="0" borderId="91" xfId="0" applyFont="1" applyBorder="1" applyAlignment="1">
      <alignment vertical="center"/>
    </xf>
    <xf numFmtId="0" fontId="53" fillId="4" borderId="4" xfId="0" applyFont="1" applyFill="1" applyBorder="1" applyAlignment="1">
      <alignment horizontal="center"/>
    </xf>
    <xf numFmtId="0" fontId="53" fillId="4" borderId="100" xfId="0" applyFont="1" applyFill="1" applyBorder="1" applyAlignment="1">
      <alignment horizontal="center"/>
    </xf>
    <xf numFmtId="0" fontId="17" fillId="0" borderId="94" xfId="0" applyFont="1" applyFill="1" applyBorder="1" applyAlignment="1">
      <alignment vertical="center"/>
    </xf>
    <xf numFmtId="0" fontId="0" fillId="0" borderId="85" xfId="0" applyFont="1" applyBorder="1" applyAlignment="1">
      <alignment horizontal="center" vertical="center" wrapText="1"/>
    </xf>
    <xf numFmtId="0" fontId="17" fillId="0" borderId="86" xfId="0" applyFont="1" applyFill="1" applyBorder="1" applyAlignment="1">
      <alignment horizontal="right" vertical="top"/>
    </xf>
    <xf numFmtId="0" fontId="0" fillId="0" borderId="87" xfId="0" applyFont="1" applyFill="1" applyBorder="1" applyAlignment="1">
      <alignment horizontal="left" vertical="top" wrapText="1"/>
    </xf>
    <xf numFmtId="0" fontId="0" fillId="0" borderId="27" xfId="0" applyFont="1" applyFill="1" applyBorder="1" applyAlignment="1">
      <alignment vertical="center"/>
    </xf>
    <xf numFmtId="0" fontId="0" fillId="0" borderId="92" xfId="0" applyFont="1" applyFill="1" applyBorder="1" applyAlignment="1">
      <alignment vertical="center"/>
    </xf>
    <xf numFmtId="0" fontId="17" fillId="0" borderId="94" xfId="0" applyFont="1" applyFill="1" applyBorder="1" applyAlignment="1">
      <alignment vertical="top"/>
    </xf>
    <xf numFmtId="0" fontId="0" fillId="0" borderId="48" xfId="0" applyFill="1" applyBorder="1" applyAlignment="1">
      <alignment vertical="center"/>
    </xf>
    <xf numFmtId="0" fontId="53" fillId="4" borderId="14" xfId="0" applyFont="1" applyFill="1" applyBorder="1" applyAlignment="1">
      <alignment horizontal="center"/>
    </xf>
    <xf numFmtId="0" fontId="53" fillId="4" borderId="88" xfId="0" applyFont="1" applyFill="1" applyBorder="1" applyAlignment="1">
      <alignment horizontal="center"/>
    </xf>
    <xf numFmtId="0" fontId="0" fillId="0" borderId="92" xfId="0" applyFill="1" applyBorder="1" applyAlignment="1">
      <alignment vertical="center"/>
    </xf>
    <xf numFmtId="0" fontId="39" fillId="0" borderId="49" xfId="0" applyFont="1" applyFill="1" applyBorder="1" applyAlignment="1">
      <alignment vertical="center"/>
    </xf>
    <xf numFmtId="0" fontId="17" fillId="0" borderId="86" xfId="0" applyFont="1" applyFill="1" applyBorder="1" applyAlignment="1">
      <alignment vertical="top"/>
    </xf>
    <xf numFmtId="0" fontId="1" fillId="0" borderId="92" xfId="0" applyFont="1" applyFill="1" applyBorder="1" applyAlignment="1">
      <alignment vertical="center"/>
    </xf>
    <xf numFmtId="0" fontId="53" fillId="16" borderId="80" xfId="0" applyFont="1" applyFill="1" applyBorder="1" applyAlignment="1">
      <alignment horizontal="center"/>
    </xf>
    <xf numFmtId="0" fontId="1" fillId="0" borderId="94" xfId="0" applyFont="1" applyFill="1" applyBorder="1" applyAlignment="1">
      <alignment vertical="center"/>
    </xf>
    <xf numFmtId="0" fontId="39" fillId="0" borderId="92" xfId="0" applyFont="1" applyFill="1" applyBorder="1" applyAlignment="1">
      <alignment vertical="center"/>
    </xf>
    <xf numFmtId="0" fontId="17" fillId="0" borderId="90" xfId="0" applyFont="1" applyFill="1" applyBorder="1" applyAlignment="1">
      <alignment vertical="top"/>
    </xf>
    <xf numFmtId="0" fontId="0" fillId="0" borderId="1" xfId="0" applyFont="1" applyBorder="1" applyAlignment="1">
      <alignment vertical="center"/>
    </xf>
    <xf numFmtId="0" fontId="54" fillId="0" borderId="94" xfId="0" applyFont="1" applyFill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17" fillId="0" borderId="103" xfId="0" applyFont="1" applyFill="1" applyBorder="1" applyAlignment="1">
      <alignment vertical="center"/>
    </xf>
    <xf numFmtId="0" fontId="0" fillId="0" borderId="95" xfId="0" applyFill="1" applyBorder="1" applyAlignment="1">
      <alignment vertical="center"/>
    </xf>
    <xf numFmtId="0" fontId="17" fillId="0" borderId="104" xfId="0" applyFont="1" applyFill="1" applyBorder="1" applyAlignment="1">
      <alignment vertical="center"/>
    </xf>
    <xf numFmtId="0" fontId="0" fillId="0" borderId="49" xfId="0" applyFont="1" applyBorder="1" applyAlignment="1">
      <alignment vertical="center"/>
    </xf>
    <xf numFmtId="0" fontId="0" fillId="0" borderId="95" xfId="0" applyFont="1" applyBorder="1" applyAlignment="1">
      <alignment vertical="center" wrapText="1"/>
    </xf>
    <xf numFmtId="0" fontId="17" fillId="0" borderId="90" xfId="0" applyFont="1" applyFill="1" applyBorder="1" applyAlignment="1">
      <alignment vertical="center"/>
    </xf>
    <xf numFmtId="0" fontId="0" fillId="0" borderId="92" xfId="0" applyFont="1" applyBorder="1"/>
    <xf numFmtId="0" fontId="17" fillId="0" borderId="21" xfId="0" applyFont="1" applyFill="1" applyBorder="1" applyAlignment="1">
      <alignment vertical="center"/>
    </xf>
    <xf numFmtId="0" fontId="55" fillId="0" borderId="87" xfId="0" applyFont="1" applyFill="1" applyBorder="1" applyAlignment="1">
      <alignment vertical="center"/>
    </xf>
    <xf numFmtId="0" fontId="0" fillId="0" borderId="48" xfId="0" applyFont="1" applyFill="1" applyBorder="1" applyAlignment="1">
      <alignment vertical="center"/>
    </xf>
    <xf numFmtId="0" fontId="55" fillId="0" borderId="32" xfId="0" applyFont="1" applyFill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1" xfId="0" applyFont="1" applyFill="1" applyBorder="1" applyAlignment="1">
      <alignment horizontal="left" vertical="top" wrapText="1"/>
    </xf>
    <xf numFmtId="0" fontId="1" fillId="0" borderId="48" xfId="0" applyFont="1" applyFill="1" applyBorder="1" applyAlignment="1">
      <alignment vertical="center"/>
    </xf>
    <xf numFmtId="0" fontId="53" fillId="4" borderId="3" xfId="0" applyFont="1" applyFill="1" applyBorder="1" applyAlignment="1">
      <alignment horizontal="center"/>
    </xf>
    <xf numFmtId="0" fontId="53" fillId="4" borderId="94" xfId="0" applyFont="1" applyFill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0" fillId="0" borderId="32" xfId="0" applyFont="1" applyBorder="1" applyAlignment="1">
      <alignment vertical="top" wrapText="1"/>
    </xf>
    <xf numFmtId="0" fontId="52" fillId="4" borderId="112" xfId="0" applyFont="1" applyFill="1" applyBorder="1" applyAlignment="1">
      <alignment horizontal="center"/>
    </xf>
    <xf numFmtId="0" fontId="52" fillId="4" borderId="113" xfId="0" applyFont="1" applyFill="1" applyBorder="1" applyAlignment="1">
      <alignment horizontal="center"/>
    </xf>
    <xf numFmtId="0" fontId="0" fillId="0" borderId="90" xfId="0" applyFont="1" applyBorder="1"/>
    <xf numFmtId="14" fontId="24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3" fillId="0" borderId="21" xfId="0" applyFont="1" applyBorder="1"/>
    <xf numFmtId="0" fontId="35" fillId="3" borderId="85" xfId="0" applyFont="1" applyFill="1" applyBorder="1"/>
    <xf numFmtId="0" fontId="13" fillId="3" borderId="103" xfId="0" applyFont="1" applyFill="1" applyBorder="1"/>
    <xf numFmtId="0" fontId="15" fillId="3" borderId="86" xfId="0" applyFont="1" applyFill="1" applyBorder="1"/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3" fillId="0" borderId="98" xfId="0" applyFont="1" applyBorder="1" applyAlignment="1">
      <alignment vertical="center" wrapText="1"/>
    </xf>
    <xf numFmtId="0" fontId="88" fillId="3" borderId="111" xfId="0" applyFont="1" applyFill="1" applyBorder="1" applyAlignment="1">
      <alignment vertical="center"/>
    </xf>
    <xf numFmtId="0" fontId="89" fillId="3" borderId="83" xfId="0" applyFont="1" applyFill="1" applyBorder="1" applyAlignment="1">
      <alignment vertical="center"/>
    </xf>
    <xf numFmtId="176" fontId="0" fillId="3" borderId="8" xfId="0" applyNumberFormat="1" applyFont="1" applyFill="1" applyBorder="1" applyAlignment="1">
      <alignment horizontal="right" vertical="center"/>
    </xf>
    <xf numFmtId="0" fontId="0" fillId="3" borderId="15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8" fillId="0" borderId="14" xfId="0" applyFont="1" applyBorder="1" applyAlignment="1">
      <alignment horizontal="center" vertical="center"/>
    </xf>
    <xf numFmtId="0" fontId="88" fillId="0" borderId="18" xfId="0" applyFont="1" applyBorder="1" applyAlignment="1">
      <alignment horizontal="center" vertical="center"/>
    </xf>
    <xf numFmtId="0" fontId="90" fillId="0" borderId="37" xfId="0" applyFont="1" applyBorder="1" applyAlignment="1">
      <alignment horizontal="center" vertical="center"/>
    </xf>
    <xf numFmtId="0" fontId="88" fillId="3" borderId="15" xfId="0" applyFont="1" applyFill="1" applyBorder="1" applyAlignment="1">
      <alignment horizontal="center" vertical="center"/>
    </xf>
    <xf numFmtId="0" fontId="86" fillId="0" borderId="1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8" fillId="3" borderId="4" xfId="0" applyFont="1" applyFill="1" applyBorder="1" applyAlignment="1">
      <alignment vertical="center"/>
    </xf>
    <xf numFmtId="0" fontId="88" fillId="3" borderId="10" xfId="0" applyFont="1" applyFill="1" applyBorder="1" applyAlignment="1">
      <alignment vertical="center"/>
    </xf>
    <xf numFmtId="0" fontId="89" fillId="3" borderId="31" xfId="0" applyFont="1" applyFill="1" applyBorder="1" applyAlignment="1">
      <alignment vertical="center"/>
    </xf>
    <xf numFmtId="49" fontId="0" fillId="0" borderId="0" xfId="0" applyNumberFormat="1" applyAlignment="1">
      <alignment vertical="center" wrapText="1"/>
    </xf>
    <xf numFmtId="0" fontId="91" fillId="0" borderId="10" xfId="1" applyFont="1" applyFill="1" applyBorder="1" applyAlignment="1">
      <alignment vertical="center" wrapText="1"/>
    </xf>
    <xf numFmtId="176" fontId="41" fillId="3" borderId="8" xfId="0" applyNumberFormat="1" applyFont="1" applyFill="1" applyBorder="1" applyAlignment="1">
      <alignment horizontal="right" vertical="center"/>
    </xf>
    <xf numFmtId="0" fontId="88" fillId="3" borderId="15" xfId="0" applyFont="1" applyFill="1" applyBorder="1" applyAlignment="1">
      <alignment vertical="center"/>
    </xf>
    <xf numFmtId="0" fontId="88" fillId="3" borderId="16" xfId="0" applyFont="1" applyFill="1" applyBorder="1" applyAlignment="1">
      <alignment vertical="center"/>
    </xf>
    <xf numFmtId="0" fontId="33" fillId="0" borderId="23" xfId="0" applyFont="1" applyBorder="1" applyAlignment="1">
      <alignment vertical="center" wrapText="1"/>
    </xf>
    <xf numFmtId="0" fontId="88" fillId="0" borderId="10" xfId="0" applyFont="1" applyBorder="1" applyAlignment="1">
      <alignment horizontal="center" vertical="center"/>
    </xf>
    <xf numFmtId="0" fontId="88" fillId="0" borderId="8" xfId="0" applyFont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92" fillId="0" borderId="0" xfId="0" applyFont="1" applyBorder="1"/>
    <xf numFmtId="0" fontId="93" fillId="0" borderId="0" xfId="0" applyFont="1" applyAlignment="1">
      <alignment vertical="center" wrapText="1"/>
    </xf>
    <xf numFmtId="0" fontId="86" fillId="0" borderId="0" xfId="0" applyFont="1"/>
    <xf numFmtId="0" fontId="0" fillId="0" borderId="0" xfId="0" applyBorder="1"/>
    <xf numFmtId="0" fontId="28" fillId="0" borderId="10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53" xfId="0" applyFont="1" applyBorder="1" applyAlignment="1">
      <alignment vertical="center"/>
    </xf>
    <xf numFmtId="0" fontId="32" fillId="3" borderId="52" xfId="0" applyFont="1" applyFill="1" applyBorder="1" applyAlignment="1">
      <alignment horizontal="center" vertical="center"/>
    </xf>
    <xf numFmtId="0" fontId="32" fillId="3" borderId="53" xfId="0" applyFont="1" applyFill="1" applyBorder="1" applyAlignment="1">
      <alignment horizontal="center" vertical="center"/>
    </xf>
    <xf numFmtId="0" fontId="32" fillId="4" borderId="52" xfId="0" applyFont="1" applyFill="1" applyBorder="1" applyAlignment="1">
      <alignment horizontal="center" vertical="center"/>
    </xf>
    <xf numFmtId="0" fontId="32" fillId="4" borderId="53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right" vertical="center"/>
    </xf>
    <xf numFmtId="0" fontId="28" fillId="13" borderId="10" xfId="0" applyFont="1" applyFill="1" applyBorder="1" applyAlignment="1">
      <alignment vertical="center"/>
    </xf>
    <xf numFmtId="0" fontId="28" fillId="6" borderId="52" xfId="0" applyFont="1" applyFill="1" applyBorder="1" applyAlignment="1">
      <alignment vertical="center"/>
    </xf>
    <xf numFmtId="0" fontId="28" fillId="6" borderId="53" xfId="0" applyFont="1" applyFill="1" applyBorder="1" applyAlignment="1">
      <alignment vertical="center"/>
    </xf>
    <xf numFmtId="0" fontId="28" fillId="6" borderId="64" xfId="0" applyFont="1" applyFill="1" applyBorder="1" applyAlignment="1">
      <alignment vertical="center"/>
    </xf>
    <xf numFmtId="0" fontId="28" fillId="6" borderId="65" xfId="0" applyFont="1" applyFill="1" applyBorder="1" applyAlignment="1">
      <alignment vertical="center"/>
    </xf>
    <xf numFmtId="0" fontId="32" fillId="3" borderId="56" xfId="0" applyFont="1" applyFill="1" applyBorder="1" applyAlignment="1">
      <alignment horizontal="center" vertical="center"/>
    </xf>
    <xf numFmtId="0" fontId="32" fillId="3" borderId="57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32" fillId="4" borderId="57" xfId="0" applyFont="1" applyFill="1" applyBorder="1" applyAlignment="1">
      <alignment horizontal="center" vertical="center"/>
    </xf>
    <xf numFmtId="0" fontId="32" fillId="3" borderId="64" xfId="0" applyFont="1" applyFill="1" applyBorder="1" applyAlignment="1">
      <alignment horizontal="center" vertical="center"/>
    </xf>
    <xf numFmtId="0" fontId="32" fillId="3" borderId="65" xfId="0" applyFont="1" applyFill="1" applyBorder="1" applyAlignment="1">
      <alignment horizontal="center" vertical="center"/>
    </xf>
    <xf numFmtId="0" fontId="32" fillId="4" borderId="64" xfId="0" applyFont="1" applyFill="1" applyBorder="1" applyAlignment="1">
      <alignment horizontal="center" vertical="center"/>
    </xf>
    <xf numFmtId="0" fontId="32" fillId="4" borderId="65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56" fillId="0" borderId="10" xfId="0" applyFont="1" applyBorder="1" applyAlignment="1">
      <alignment horizontal="left" vertical="center" wrapText="1"/>
    </xf>
    <xf numFmtId="0" fontId="56" fillId="0" borderId="10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59" fillId="0" borderId="9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4" fillId="0" borderId="30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7" fillId="0" borderId="30" xfId="0" applyFont="1" applyBorder="1" applyAlignment="1">
      <alignment vertical="center"/>
    </xf>
    <xf numFmtId="0" fontId="4" fillId="0" borderId="10" xfId="0" applyFont="1" applyBorder="1"/>
    <xf numFmtId="0" fontId="0" fillId="0" borderId="10" xfId="0" applyBorder="1"/>
    <xf numFmtId="0" fontId="56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7" fillId="0" borderId="1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0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3" xfId="0" applyBorder="1" applyAlignment="1">
      <alignment wrapText="1"/>
    </xf>
    <xf numFmtId="0" fontId="13" fillId="15" borderId="110" xfId="0" applyFont="1" applyFill="1" applyBorder="1" applyAlignment="1">
      <alignment horizontal="center" vertical="center" wrapText="1"/>
    </xf>
    <xf numFmtId="0" fontId="80" fillId="15" borderId="110" xfId="0" applyFont="1" applyFill="1" applyBorder="1" applyAlignment="1">
      <alignment horizontal="center" vertical="center" wrapText="1"/>
    </xf>
    <xf numFmtId="0" fontId="0" fillId="15" borderId="110" xfId="0" applyFill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3" fillId="17" borderId="24" xfId="0" applyFont="1" applyFill="1" applyBorder="1" applyAlignment="1">
      <alignment horizontal="center" vertical="center" wrapText="1"/>
    </xf>
    <xf numFmtId="0" fontId="0" fillId="17" borderId="87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14" borderId="110" xfId="0" applyFont="1" applyFill="1" applyBorder="1" applyAlignment="1">
      <alignment horizontal="center" vertical="center" wrapText="1"/>
    </xf>
    <xf numFmtId="0" fontId="0" fillId="14" borderId="110" xfId="0" applyFill="1" applyBorder="1" applyAlignment="1">
      <alignment horizontal="center" vertical="center" wrapText="1"/>
    </xf>
    <xf numFmtId="0" fontId="0" fillId="14" borderId="110" xfId="0" applyFill="1" applyBorder="1" applyAlignment="1">
      <alignment vertical="center"/>
    </xf>
    <xf numFmtId="0" fontId="13" fillId="20" borderId="110" xfId="0" applyFont="1" applyFill="1" applyBorder="1" applyAlignment="1">
      <alignment horizontal="center" vertical="center" wrapText="1"/>
    </xf>
    <xf numFmtId="0" fontId="0" fillId="20" borderId="110" xfId="0" applyFill="1" applyBorder="1" applyAlignment="1">
      <alignment horizontal="center" vertical="center" wrapText="1"/>
    </xf>
    <xf numFmtId="0" fontId="8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/>
    <xf numFmtId="0" fontId="0" fillId="20" borderId="110" xfId="0" applyFill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35" fillId="6" borderId="14" xfId="0" applyFont="1" applyFill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vertical="center" wrapText="1"/>
    </xf>
    <xf numFmtId="0" fontId="35" fillId="9" borderId="14" xfId="0" applyFont="1" applyFill="1" applyBorder="1" applyAlignment="1">
      <alignment horizontal="center" vertical="center" wrapText="1"/>
    </xf>
    <xf numFmtId="0" fontId="35" fillId="9" borderId="4" xfId="0" applyFont="1" applyFill="1" applyBorder="1" applyAlignment="1">
      <alignment horizontal="center" vertical="center" wrapText="1"/>
    </xf>
    <xf numFmtId="0" fontId="35" fillId="5" borderId="26" xfId="0" applyFont="1" applyFill="1" applyBorder="1" applyAlignment="1">
      <alignment horizontal="center" vertical="center" wrapText="1"/>
    </xf>
    <xf numFmtId="0" fontId="35" fillId="5" borderId="31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/>
    </xf>
    <xf numFmtId="0" fontId="62" fillId="0" borderId="33" xfId="0" applyFont="1" applyBorder="1" applyAlignment="1">
      <alignment horizontal="center" vertical="center"/>
    </xf>
    <xf numFmtId="0" fontId="13" fillId="18" borderId="24" xfId="0" applyFont="1" applyFill="1" applyBorder="1" applyAlignment="1">
      <alignment horizontal="center" vertical="center" wrapText="1"/>
    </xf>
    <xf numFmtId="0" fontId="0" fillId="18" borderId="87" xfId="0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left" vertical="top" wrapText="1"/>
    </xf>
    <xf numFmtId="0" fontId="0" fillId="0" borderId="32" xfId="0" applyFont="1" applyFill="1" applyBorder="1" applyAlignment="1">
      <alignment horizontal="left" vertical="top" wrapText="1"/>
    </xf>
    <xf numFmtId="0" fontId="1" fillId="0" borderId="21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0" fillId="3" borderId="82" xfId="0" applyFill="1" applyBorder="1" applyAlignment="1">
      <alignment horizontal="center" vertical="center"/>
    </xf>
    <xf numFmtId="0" fontId="0" fillId="3" borderId="83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1" fillId="16" borderId="8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1" fillId="0" borderId="85" xfId="0" applyFont="1" applyBorder="1" applyAlignment="1">
      <alignment horizontal="center" vertical="center" wrapText="1"/>
    </xf>
    <xf numFmtId="0" fontId="1" fillId="0" borderId="91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left" vertical="top" wrapText="1"/>
    </xf>
    <xf numFmtId="0" fontId="0" fillId="0" borderId="87" xfId="0" applyFont="1" applyBorder="1" applyAlignment="1">
      <alignment horizontal="left" vertical="top" wrapText="1"/>
    </xf>
    <xf numFmtId="0" fontId="0" fillId="0" borderId="32" xfId="0" applyFont="1" applyBorder="1" applyAlignment="1">
      <alignment horizontal="left" vertical="top" wrapText="1"/>
    </xf>
    <xf numFmtId="0" fontId="0" fillId="0" borderId="21" xfId="0" applyFont="1" applyFill="1" applyBorder="1" applyAlignment="1">
      <alignment vertical="top" wrapText="1"/>
    </xf>
    <xf numFmtId="0" fontId="0" fillId="0" borderId="87" xfId="0" applyFont="1" applyFill="1" applyBorder="1" applyAlignment="1">
      <alignment vertical="top" wrapText="1"/>
    </xf>
    <xf numFmtId="0" fontId="1" fillId="0" borderId="89" xfId="0" applyFont="1" applyBorder="1" applyAlignment="1">
      <alignment horizontal="center" vertical="center"/>
    </xf>
    <xf numFmtId="0" fontId="0" fillId="0" borderId="87" xfId="0" applyFont="1" applyFill="1" applyBorder="1" applyAlignment="1">
      <alignment horizontal="left" vertical="top" wrapText="1"/>
    </xf>
    <xf numFmtId="0" fontId="1" fillId="0" borderId="9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13" fillId="3" borderId="82" xfId="0" applyFont="1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13" fillId="3" borderId="114" xfId="0" applyFont="1" applyFill="1" applyBorder="1" applyAlignment="1">
      <alignment horizontal="center" vertical="center" wrapText="1"/>
    </xf>
    <xf numFmtId="0" fontId="0" fillId="3" borderId="108" xfId="0" applyFill="1" applyBorder="1" applyAlignment="1">
      <alignment horizontal="center" vertical="center"/>
    </xf>
    <xf numFmtId="0" fontId="13" fillId="3" borderId="115" xfId="0" applyFont="1" applyFill="1" applyBorder="1" applyAlignment="1">
      <alignment horizontal="center" vertical="center" wrapText="1"/>
    </xf>
    <xf numFmtId="0" fontId="0" fillId="3" borderId="107" xfId="0" applyFill="1" applyBorder="1" applyAlignment="1">
      <alignment horizontal="center" vertical="center"/>
    </xf>
    <xf numFmtId="0" fontId="35" fillId="3" borderId="1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87" fillId="3" borderId="9" xfId="0" applyFont="1" applyFill="1" applyBorder="1" applyAlignment="1">
      <alignment horizontal="center" vertical="center"/>
    </xf>
    <xf numFmtId="0" fontId="87" fillId="3" borderId="3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54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textRotation="255" wrapText="1"/>
    </xf>
    <xf numFmtId="0" fontId="17" fillId="0" borderId="3" xfId="0" applyFont="1" applyBorder="1" applyAlignment="1">
      <alignment horizontal="center" vertical="center" textRotation="255" wrapText="1"/>
    </xf>
    <xf numFmtId="0" fontId="17" fillId="0" borderId="4" xfId="0" applyFont="1" applyBorder="1" applyAlignment="1">
      <alignment horizontal="center" vertical="center" textRotation="255" wrapText="1"/>
    </xf>
    <xf numFmtId="0" fontId="1" fillId="3" borderId="8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15" xfId="0" applyBorder="1" applyAlignment="1">
      <alignment vertical="center"/>
    </xf>
  </cellXfs>
  <cellStyles count="2">
    <cellStyle name="一般" xfId="0" builtinId="0"/>
    <cellStyle name="壞" xfId="1" builtinId="27"/>
  </cellStyles>
  <dxfs count="1">
    <dxf>
      <font>
        <b/>
        <i val="0"/>
        <color rgb="FFFF0000"/>
      </font>
    </dxf>
  </dxfs>
  <tableStyles count="0" defaultTableStyle="TableStyleMedium9" defaultPivotStyle="PivotStyleLight16"/>
  <colors>
    <mruColors>
      <color rgb="FFFF7C80"/>
      <color rgb="FFCC6600"/>
      <color rgb="FFFFFF99"/>
      <color rgb="FFFFFF66"/>
      <color rgb="FFCCFF99"/>
      <color rgb="FF99FF66"/>
      <color rgb="FF33CC33"/>
      <color rgb="FFFF00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14;&#20462;&#37096;-113-1&#23416;&#24180;&#24230;&#35506;&#31243;&#31680;&#25976;&#27010;&#31639;&#34920;7&#29677;(&#21830;&#35338;)_113100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3-1_7班"/>
      <sheetName val="113進修部-節數比較表(7班)"/>
    </sheetNames>
    <sheetDataSet>
      <sheetData sheetId="0">
        <row r="4">
          <cell r="L4">
            <v>29</v>
          </cell>
        </row>
        <row r="12">
          <cell r="L12">
            <v>14</v>
          </cell>
        </row>
        <row r="14">
          <cell r="L14">
            <v>10</v>
          </cell>
        </row>
        <row r="15">
          <cell r="L15">
            <v>27</v>
          </cell>
        </row>
        <row r="28">
          <cell r="L28">
            <v>24</v>
          </cell>
        </row>
        <row r="42">
          <cell r="L42">
            <v>35</v>
          </cell>
        </row>
        <row r="63">
          <cell r="L63">
            <v>4</v>
          </cell>
        </row>
        <row r="65">
          <cell r="L65">
            <v>3</v>
          </cell>
        </row>
        <row r="68">
          <cell r="L68">
            <v>4</v>
          </cell>
        </row>
        <row r="70">
          <cell r="K70">
            <v>3</v>
          </cell>
        </row>
        <row r="71">
          <cell r="K71">
            <v>4</v>
          </cell>
        </row>
        <row r="72">
          <cell r="K72">
            <v>2</v>
          </cell>
        </row>
        <row r="73">
          <cell r="K73">
            <v>2</v>
          </cell>
        </row>
        <row r="75">
          <cell r="K75">
            <v>8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S732"/>
  <sheetViews>
    <sheetView zoomScaleNormal="100" workbookViewId="0">
      <selection activeCell="U6" sqref="U6"/>
    </sheetView>
  </sheetViews>
  <sheetFormatPr defaultColWidth="9" defaultRowHeight="15"/>
  <cols>
    <col min="1" max="1" width="1.625" style="1" customWidth="1"/>
    <col min="2" max="2" width="13.625" style="1" customWidth="1"/>
    <col min="3" max="6" width="7.875" style="201" customWidth="1"/>
    <col min="7" max="7" width="8.25" style="201" customWidth="1"/>
    <col min="8" max="9" width="9.5" style="201" customWidth="1"/>
    <col min="10" max="14" width="8.5" style="201" customWidth="1"/>
    <col min="15" max="15" width="9.5" style="201" customWidth="1"/>
    <col min="16" max="16" width="11.25" style="201" customWidth="1"/>
    <col min="17" max="17" width="9.125" style="1" customWidth="1"/>
    <col min="18" max="19" width="9.625" style="1" hidden="1" customWidth="1"/>
    <col min="20" max="20" width="13" style="1" hidden="1" customWidth="1"/>
    <col min="21" max="21" width="9.375" style="342" customWidth="1"/>
    <col min="22" max="22" width="5.875" style="1" customWidth="1"/>
    <col min="23" max="23" width="5.125" style="1" customWidth="1"/>
    <col min="24" max="29" width="3.625" style="1" customWidth="1"/>
    <col min="30" max="30" width="4.5" style="1" customWidth="1"/>
    <col min="31" max="33" width="3.625" style="1" customWidth="1"/>
    <col min="34" max="34" width="3.875" style="1" customWidth="1"/>
    <col min="35" max="35" width="6" style="1" customWidth="1"/>
    <col min="36" max="36" width="17.5" style="1" customWidth="1"/>
    <col min="37" max="37" width="6.5" style="1" customWidth="1"/>
    <col min="38" max="38" width="26.125" style="1" customWidth="1"/>
    <col min="39" max="39" width="5.875" style="1" customWidth="1"/>
    <col min="40" max="40" width="10.125" style="1" customWidth="1"/>
    <col min="41" max="41" width="10.25" style="1" customWidth="1"/>
    <col min="42" max="42" width="9.125" style="1" hidden="1" customWidth="1"/>
    <col min="43" max="43" width="15.25" style="1" customWidth="1"/>
    <col min="44" max="44" width="12.75" style="1" customWidth="1"/>
    <col min="45" max="45" width="13.125" style="1" customWidth="1"/>
    <col min="46" max="16384" width="9" style="1"/>
  </cols>
  <sheetData>
    <row r="1" spans="2:45" ht="26.25" customHeight="1" thickBot="1">
      <c r="B1" s="533" t="s">
        <v>437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  <c r="AA1" s="534"/>
      <c r="AB1" s="534"/>
      <c r="AC1" s="534"/>
      <c r="AD1" s="534"/>
      <c r="AE1" s="534"/>
      <c r="AF1" s="534"/>
      <c r="AG1" s="534"/>
      <c r="AH1" s="534"/>
      <c r="AI1" s="534"/>
      <c r="AJ1" s="534"/>
      <c r="AK1" s="534"/>
      <c r="AL1" s="534"/>
      <c r="AM1" s="534"/>
      <c r="AN1" s="534"/>
      <c r="AO1" s="534"/>
      <c r="AP1" s="534"/>
      <c r="AQ1" s="535"/>
      <c r="AR1" s="535"/>
      <c r="AS1" s="535"/>
    </row>
    <row r="2" spans="2:45" ht="48.75" customHeight="1" thickBot="1">
      <c r="B2" s="265" t="s">
        <v>28</v>
      </c>
      <c r="C2" s="512" t="s">
        <v>285</v>
      </c>
      <c r="D2" s="513"/>
      <c r="E2" s="513"/>
      <c r="F2" s="513"/>
      <c r="G2" s="528" t="s">
        <v>313</v>
      </c>
      <c r="H2" s="529"/>
      <c r="I2" s="529"/>
      <c r="J2" s="529"/>
      <c r="K2" s="531" t="s">
        <v>340</v>
      </c>
      <c r="L2" s="532"/>
      <c r="M2" s="532"/>
      <c r="N2" s="532"/>
      <c r="O2" s="522" t="s">
        <v>307</v>
      </c>
      <c r="P2" s="522" t="s">
        <v>308</v>
      </c>
      <c r="Q2" s="522" t="s">
        <v>297</v>
      </c>
      <c r="R2" s="525" t="s">
        <v>100</v>
      </c>
      <c r="S2" s="526"/>
      <c r="T2" s="527"/>
      <c r="U2" s="547" t="s">
        <v>309</v>
      </c>
      <c r="V2" s="497" t="s">
        <v>301</v>
      </c>
      <c r="W2" s="498"/>
      <c r="X2" s="498"/>
      <c r="Y2" s="498"/>
      <c r="Z2" s="498"/>
      <c r="AA2" s="498"/>
      <c r="AB2" s="498"/>
      <c r="AC2" s="498"/>
      <c r="AD2" s="498"/>
      <c r="AE2" s="498"/>
      <c r="AF2" s="498"/>
      <c r="AG2" s="498"/>
      <c r="AH2" s="498"/>
      <c r="AI2" s="498"/>
      <c r="AJ2" s="489" t="s">
        <v>469</v>
      </c>
      <c r="AK2" s="489" t="s">
        <v>279</v>
      </c>
      <c r="AL2" s="489" t="s">
        <v>467</v>
      </c>
      <c r="AM2" s="489" t="s">
        <v>280</v>
      </c>
      <c r="AN2" s="489" t="s">
        <v>275</v>
      </c>
      <c r="AO2" s="506" t="s">
        <v>276</v>
      </c>
      <c r="AP2" s="507"/>
      <c r="AQ2" s="506" t="s">
        <v>452</v>
      </c>
      <c r="AR2" s="506" t="s">
        <v>458</v>
      </c>
      <c r="AS2" s="489" t="s">
        <v>470</v>
      </c>
    </row>
    <row r="3" spans="2:45" ht="41.25" customHeight="1" thickBot="1">
      <c r="B3" s="537" t="s">
        <v>47</v>
      </c>
      <c r="C3" s="512" t="s">
        <v>286</v>
      </c>
      <c r="D3" s="512" t="s">
        <v>287</v>
      </c>
      <c r="E3" s="512" t="s">
        <v>288</v>
      </c>
      <c r="F3" s="512" t="s">
        <v>289</v>
      </c>
      <c r="G3" s="528" t="s">
        <v>312</v>
      </c>
      <c r="H3" s="528" t="s">
        <v>29</v>
      </c>
      <c r="I3" s="528" t="s">
        <v>297</v>
      </c>
      <c r="J3" s="528" t="s">
        <v>314</v>
      </c>
      <c r="K3" s="531" t="s">
        <v>438</v>
      </c>
      <c r="L3" s="531" t="s">
        <v>29</v>
      </c>
      <c r="M3" s="531" t="s">
        <v>297</v>
      </c>
      <c r="N3" s="531" t="s">
        <v>314</v>
      </c>
      <c r="O3" s="523"/>
      <c r="P3" s="523"/>
      <c r="Q3" s="523"/>
      <c r="R3" s="539" t="s">
        <v>90</v>
      </c>
      <c r="S3" s="541" t="s">
        <v>102</v>
      </c>
      <c r="T3" s="543" t="s">
        <v>103</v>
      </c>
      <c r="U3" s="548"/>
      <c r="V3" s="53" t="s">
        <v>30</v>
      </c>
      <c r="W3" s="331" t="s">
        <v>31</v>
      </c>
      <c r="X3" s="545" t="s">
        <v>32</v>
      </c>
      <c r="Y3" s="546"/>
      <c r="Z3" s="492" t="s">
        <v>33</v>
      </c>
      <c r="AA3" s="493"/>
      <c r="AB3" s="494" t="s">
        <v>50</v>
      </c>
      <c r="AC3" s="495"/>
      <c r="AD3" s="496"/>
      <c r="AE3" s="515" t="s">
        <v>34</v>
      </c>
      <c r="AF3" s="516"/>
      <c r="AG3" s="517"/>
      <c r="AH3" s="518" t="s">
        <v>46</v>
      </c>
      <c r="AI3" s="520" t="s">
        <v>35</v>
      </c>
      <c r="AJ3" s="490"/>
      <c r="AK3" s="490"/>
      <c r="AL3" s="490"/>
      <c r="AM3" s="490"/>
      <c r="AN3" s="490"/>
      <c r="AO3" s="508"/>
      <c r="AP3" s="509"/>
      <c r="AQ3" s="508"/>
      <c r="AR3" s="508"/>
      <c r="AS3" s="490"/>
    </row>
    <row r="4" spans="2:45" s="3" customFormat="1" ht="127.5" customHeight="1" thickBot="1">
      <c r="B4" s="538"/>
      <c r="C4" s="512"/>
      <c r="D4" s="514"/>
      <c r="E4" s="514"/>
      <c r="F4" s="514"/>
      <c r="G4" s="528"/>
      <c r="H4" s="528"/>
      <c r="I4" s="528"/>
      <c r="J4" s="530"/>
      <c r="K4" s="531"/>
      <c r="L4" s="531"/>
      <c r="M4" s="531"/>
      <c r="N4" s="536"/>
      <c r="O4" s="524"/>
      <c r="P4" s="524"/>
      <c r="Q4" s="524"/>
      <c r="R4" s="540"/>
      <c r="S4" s="542"/>
      <c r="T4" s="544"/>
      <c r="U4" s="549"/>
      <c r="V4" s="53" t="s">
        <v>36</v>
      </c>
      <c r="W4" s="44">
        <v>1</v>
      </c>
      <c r="X4" s="44">
        <v>5</v>
      </c>
      <c r="Y4" s="44">
        <v>7</v>
      </c>
      <c r="Z4" s="44">
        <v>6</v>
      </c>
      <c r="AA4" s="44">
        <v>7</v>
      </c>
      <c r="AB4" s="44">
        <v>10</v>
      </c>
      <c r="AC4" s="44">
        <v>12</v>
      </c>
      <c r="AD4" s="44">
        <v>14</v>
      </c>
      <c r="AE4" s="44">
        <v>12</v>
      </c>
      <c r="AF4" s="44">
        <v>14</v>
      </c>
      <c r="AG4" s="54">
        <v>16</v>
      </c>
      <c r="AH4" s="519"/>
      <c r="AI4" s="521"/>
      <c r="AJ4" s="491"/>
      <c r="AK4" s="491"/>
      <c r="AL4" s="491"/>
      <c r="AM4" s="491"/>
      <c r="AN4" s="491"/>
      <c r="AO4" s="510"/>
      <c r="AP4" s="511"/>
      <c r="AQ4" s="510"/>
      <c r="AR4" s="510"/>
      <c r="AS4" s="491"/>
    </row>
    <row r="5" spans="2:45" ht="54" customHeight="1" thickBot="1">
      <c r="B5" s="25" t="s">
        <v>37</v>
      </c>
      <c r="C5" s="345">
        <f>(AH5+AK5)*10</f>
        <v>130</v>
      </c>
      <c r="D5" s="345">
        <f>日113課程節數預估表!AH5-9+進113課程節數一覽表!K4</f>
        <v>132</v>
      </c>
      <c r="E5" s="346">
        <f>D5-C5</f>
        <v>2</v>
      </c>
      <c r="F5" s="347">
        <f>E5/(AH5+AK5)</f>
        <v>0.15384615384615385</v>
      </c>
      <c r="G5" s="348">
        <f>AI5+26</f>
        <v>104</v>
      </c>
      <c r="H5" s="348">
        <f t="shared" ref="H5:H16" si="0">D5</f>
        <v>132</v>
      </c>
      <c r="I5" s="349">
        <f>H5-G5</f>
        <v>28</v>
      </c>
      <c r="J5" s="349">
        <f>I5/(AH5+AK5)</f>
        <v>2.1538461538461537</v>
      </c>
      <c r="K5" s="353">
        <f>C5</f>
        <v>130</v>
      </c>
      <c r="L5" s="353">
        <f>日114課程節數預估表!AJ5-9+進113課程節數一覽表!K4</f>
        <v>146</v>
      </c>
      <c r="M5" s="353">
        <f>L5-K5</f>
        <v>16</v>
      </c>
      <c r="N5" s="353">
        <f>M5/(AH5+AK5)</f>
        <v>1.2307692307692308</v>
      </c>
      <c r="O5" s="341">
        <f>(AH5+AK5)*10</f>
        <v>130</v>
      </c>
      <c r="P5" s="341">
        <f>L5</f>
        <v>146</v>
      </c>
      <c r="Q5" s="341">
        <f>P5-O5</f>
        <v>16</v>
      </c>
      <c r="R5" s="339">
        <v>6.2</v>
      </c>
      <c r="S5" s="94">
        <v>6.6</v>
      </c>
      <c r="T5" s="91" t="e">
        <f>#REF!/(AH5-#REF!)</f>
        <v>#REF!</v>
      </c>
      <c r="U5" s="343">
        <v>0</v>
      </c>
      <c r="V5" s="503" t="s">
        <v>38</v>
      </c>
      <c r="W5" s="44">
        <v>3</v>
      </c>
      <c r="X5" s="37"/>
      <c r="Y5" s="44">
        <v>1</v>
      </c>
      <c r="Z5" s="44"/>
      <c r="AA5" s="44"/>
      <c r="AB5" s="44">
        <v>4</v>
      </c>
      <c r="AC5" s="44"/>
      <c r="AD5" s="44"/>
      <c r="AE5" s="44"/>
      <c r="AF5" s="44">
        <v>2</v>
      </c>
      <c r="AG5" s="44"/>
      <c r="AH5" s="45">
        <f t="shared" ref="AH5:AH15" si="1" xml:space="preserve"> SUM(W5:AG5)</f>
        <v>10</v>
      </c>
      <c r="AI5" s="46">
        <f>W5*$W$4+X5*$X$4+Y5*$Y$4+Z5*$Z$4+AA5*$AA$4+AB5*$AB$4+AC5*$AC$4+AD5*$AD$4+AE5*$AE$4+AF5*$AF$4+AG5*$AG$4</f>
        <v>78</v>
      </c>
      <c r="AJ5" s="52" t="s">
        <v>299</v>
      </c>
      <c r="AK5" s="329">
        <v>3</v>
      </c>
      <c r="AL5" s="332" t="s">
        <v>459</v>
      </c>
      <c r="AM5" s="329">
        <v>0</v>
      </c>
      <c r="AN5" s="330"/>
      <c r="AO5" s="501" t="s">
        <v>277</v>
      </c>
      <c r="AP5" s="502"/>
      <c r="AQ5" s="485"/>
      <c r="AR5" s="485"/>
      <c r="AS5" s="486"/>
    </row>
    <row r="6" spans="2:45" ht="45" customHeight="1" thickBot="1">
      <c r="B6" s="27" t="s">
        <v>315</v>
      </c>
      <c r="C6" s="260">
        <f>(AH6+AK6)*12</f>
        <v>132</v>
      </c>
      <c r="D6" s="261">
        <f>日113課程節數預估表!AI14+進113課程節數一覽表!K12</f>
        <v>141</v>
      </c>
      <c r="E6" s="256">
        <f t="shared" ref="E6:E15" si="2">D6-C6</f>
        <v>9</v>
      </c>
      <c r="F6" s="347">
        <f t="shared" ref="F6:F14" si="3">E6/(AH6+AK6)</f>
        <v>0.81818181818181823</v>
      </c>
      <c r="G6" s="350">
        <f>AI6+12</f>
        <v>128</v>
      </c>
      <c r="H6" s="350">
        <f t="shared" si="0"/>
        <v>141</v>
      </c>
      <c r="I6" s="351">
        <f t="shared" ref="I6:I15" si="4">H6-G6</f>
        <v>13</v>
      </c>
      <c r="J6" s="349">
        <f t="shared" ref="J6:J14" si="5">I6/(AH6+AK6)</f>
        <v>1.1818181818181819</v>
      </c>
      <c r="K6" s="353">
        <f t="shared" ref="K6:K15" si="6">C6</f>
        <v>132</v>
      </c>
      <c r="L6" s="353">
        <f>日114課程節數預估表!AK14+進113課程節數一覽表!K12</f>
        <v>143</v>
      </c>
      <c r="M6" s="353">
        <f t="shared" ref="M6:M15" si="7">L6-K6</f>
        <v>11</v>
      </c>
      <c r="N6" s="353">
        <f t="shared" ref="N6:N14" si="8">M6/(AH6+AK6)</f>
        <v>1</v>
      </c>
      <c r="O6" s="341">
        <f>(AH6+AK6)*12</f>
        <v>132</v>
      </c>
      <c r="P6" s="341">
        <f t="shared" ref="P6:P16" si="9">L6</f>
        <v>143</v>
      </c>
      <c r="Q6" s="341">
        <f t="shared" ref="Q6:Q16" si="10">P6-O6</f>
        <v>11</v>
      </c>
      <c r="R6" s="339">
        <v>-0.8</v>
      </c>
      <c r="S6" s="94">
        <v>1.2</v>
      </c>
      <c r="T6" s="92" t="e">
        <f>#REF!/(AH6-#REF!)</f>
        <v>#REF!</v>
      </c>
      <c r="U6" s="343" t="s">
        <v>298</v>
      </c>
      <c r="V6" s="504"/>
      <c r="W6" s="44"/>
      <c r="X6" s="39">
        <v>1</v>
      </c>
      <c r="Y6" s="44"/>
      <c r="Z6" s="44"/>
      <c r="AA6" s="44">
        <v>1</v>
      </c>
      <c r="AB6" s="44"/>
      <c r="AC6" s="44">
        <v>6</v>
      </c>
      <c r="AD6" s="44"/>
      <c r="AE6" s="44"/>
      <c r="AF6" s="44"/>
      <c r="AG6" s="44">
        <v>2</v>
      </c>
      <c r="AH6" s="45">
        <f t="shared" si="1"/>
        <v>10</v>
      </c>
      <c r="AI6" s="48">
        <f>W6*$W$4+X6*$X$4+Y6*$Y$4+Z6*$Z$4+AA6*$AA$4+AB6*$AB$4+AC6*$AC$4+AD6*$AD$4+AE6*$AE$4+AF6*$AF$4+AG6*$AG$4</f>
        <v>116</v>
      </c>
      <c r="AJ6" s="52" t="s">
        <v>306</v>
      </c>
      <c r="AK6" s="329">
        <v>1</v>
      </c>
      <c r="AL6" s="332" t="s">
        <v>460</v>
      </c>
      <c r="AM6" s="329">
        <v>1</v>
      </c>
      <c r="AN6" s="330" t="s">
        <v>295</v>
      </c>
      <c r="AO6" s="499"/>
      <c r="AP6" s="500"/>
      <c r="AQ6" s="486" t="s">
        <v>453</v>
      </c>
      <c r="AR6" s="486"/>
      <c r="AS6" s="487" t="s">
        <v>454</v>
      </c>
    </row>
    <row r="7" spans="2:45" ht="45" customHeight="1" thickBot="1">
      <c r="B7" s="28" t="s">
        <v>39</v>
      </c>
      <c r="C7" s="260">
        <f>(AH7+AK7)*12</f>
        <v>72</v>
      </c>
      <c r="D7" s="261">
        <f>日113課程節數預估表!AH37+進113課程節數一覽表!K14</f>
        <v>100</v>
      </c>
      <c r="E7" s="256">
        <f t="shared" si="2"/>
        <v>28</v>
      </c>
      <c r="F7" s="347">
        <f t="shared" si="3"/>
        <v>4.666666666666667</v>
      </c>
      <c r="G7" s="350">
        <f>AI7</f>
        <v>57</v>
      </c>
      <c r="H7" s="350">
        <f t="shared" si="0"/>
        <v>100</v>
      </c>
      <c r="I7" s="351">
        <f t="shared" si="4"/>
        <v>43</v>
      </c>
      <c r="J7" s="349">
        <f t="shared" si="5"/>
        <v>7.166666666666667</v>
      </c>
      <c r="K7" s="353">
        <f t="shared" si="6"/>
        <v>72</v>
      </c>
      <c r="L7" s="353">
        <f>日114課程節數預估表!AJ37+進113課程節數一覽表!K14</f>
        <v>100</v>
      </c>
      <c r="M7" s="353">
        <f t="shared" si="7"/>
        <v>28</v>
      </c>
      <c r="N7" s="353">
        <f t="shared" si="8"/>
        <v>4.666666666666667</v>
      </c>
      <c r="O7" s="341">
        <f t="shared" ref="O7:O14" si="11">(AH7+AK7)*12</f>
        <v>72</v>
      </c>
      <c r="P7" s="341">
        <f t="shared" si="9"/>
        <v>100</v>
      </c>
      <c r="Q7" s="341">
        <f t="shared" si="10"/>
        <v>28</v>
      </c>
      <c r="R7" s="339">
        <v>4.125</v>
      </c>
      <c r="S7" s="94">
        <v>0.75</v>
      </c>
      <c r="T7" s="91" t="e">
        <f>#REF!/(AH7-#REF!)</f>
        <v>#REF!</v>
      </c>
      <c r="U7" s="343">
        <v>1</v>
      </c>
      <c r="V7" s="504"/>
      <c r="W7" s="44"/>
      <c r="X7" s="44">
        <v>1</v>
      </c>
      <c r="Y7" s="44"/>
      <c r="Z7" s="44"/>
      <c r="AA7" s="44"/>
      <c r="AB7" s="47"/>
      <c r="AC7" s="44">
        <v>3</v>
      </c>
      <c r="AD7" s="44"/>
      <c r="AE7" s="44"/>
      <c r="AF7" s="44"/>
      <c r="AG7" s="44">
        <v>1</v>
      </c>
      <c r="AH7" s="45">
        <v>6</v>
      </c>
      <c r="AI7" s="48">
        <f>W7*$W$4+X7*$X$4+Y7*$Y$4+Z7*$Z$4+AA7*$AA$4+AB7*$AB$4+AC7*$AC$4+AD7*$AD$4+AE7*$AE$4+AF7*$AF$4+AG7*$AG$4</f>
        <v>57</v>
      </c>
      <c r="AJ7" s="52" t="s">
        <v>300</v>
      </c>
      <c r="AK7" s="329">
        <v>0</v>
      </c>
      <c r="AL7" s="332" t="s">
        <v>461</v>
      </c>
      <c r="AM7" s="329">
        <v>0</v>
      </c>
      <c r="AN7" s="330" t="s">
        <v>296</v>
      </c>
      <c r="AO7" s="501"/>
      <c r="AP7" s="502"/>
      <c r="AQ7" s="485"/>
      <c r="AR7" s="485"/>
      <c r="AS7" s="486"/>
    </row>
    <row r="8" spans="2:45" ht="45" customHeight="1" thickBot="1">
      <c r="B8" s="29" t="s">
        <v>40</v>
      </c>
      <c r="C8" s="260">
        <f>AI8</f>
        <v>16</v>
      </c>
      <c r="D8" s="261">
        <f>日113課程節數預估表!AH41+進113課程節數一覽表!K68</f>
        <v>22</v>
      </c>
      <c r="E8" s="256">
        <f t="shared" si="2"/>
        <v>6</v>
      </c>
      <c r="F8" s="347">
        <f t="shared" si="3"/>
        <v>6</v>
      </c>
      <c r="G8" s="350">
        <f t="shared" ref="G8:G14" si="12">AI8</f>
        <v>16</v>
      </c>
      <c r="H8" s="350">
        <f t="shared" si="0"/>
        <v>22</v>
      </c>
      <c r="I8" s="351">
        <f t="shared" si="4"/>
        <v>6</v>
      </c>
      <c r="J8" s="349">
        <f t="shared" si="5"/>
        <v>6</v>
      </c>
      <c r="K8" s="353">
        <f t="shared" si="6"/>
        <v>16</v>
      </c>
      <c r="L8" s="353">
        <f>日114課程節數預估表!AJ41+進113課程節數一覽表!K68</f>
        <v>22</v>
      </c>
      <c r="M8" s="353">
        <f t="shared" si="7"/>
        <v>6</v>
      </c>
      <c r="N8" s="353">
        <f t="shared" si="8"/>
        <v>6</v>
      </c>
      <c r="O8" s="341">
        <f t="shared" si="11"/>
        <v>12</v>
      </c>
      <c r="P8" s="341">
        <f t="shared" si="9"/>
        <v>22</v>
      </c>
      <c r="Q8" s="341">
        <f t="shared" si="10"/>
        <v>10</v>
      </c>
      <c r="R8" s="339">
        <v>6</v>
      </c>
      <c r="S8" s="94">
        <v>6</v>
      </c>
      <c r="T8" s="92" t="e">
        <f>#REF!/(AH8-#REF!)</f>
        <v>#REF!</v>
      </c>
      <c r="U8" s="343">
        <v>0</v>
      </c>
      <c r="V8" s="504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>
        <v>1</v>
      </c>
      <c r="AH8" s="45">
        <f t="shared" si="1"/>
        <v>1</v>
      </c>
      <c r="AI8" s="50">
        <f>W8*$W$4+X8*$X$4+Y8*$Y$4+Z8*$Z$4+AA8*$AA$4+AB8*$AB$4+AC8*$AC$4+AD8*$AD$4+AE8*$AE$4+AF8*$AF$4+AG8*$AG$4</f>
        <v>16</v>
      </c>
      <c r="AJ8" s="52"/>
      <c r="AK8" s="329">
        <v>0</v>
      </c>
      <c r="AL8" s="488" t="s">
        <v>462</v>
      </c>
      <c r="AM8" s="329">
        <v>0</v>
      </c>
      <c r="AN8" s="330"/>
      <c r="AO8" s="499"/>
      <c r="AP8" s="500"/>
      <c r="AQ8" s="485"/>
      <c r="AR8" s="485"/>
      <c r="AS8" s="486"/>
    </row>
    <row r="9" spans="2:45" ht="99.6" customHeight="1" thickBot="1">
      <c r="B9" s="28" t="s">
        <v>6</v>
      </c>
      <c r="C9" s="260">
        <f>(AH9+AK9)*12-9-7</f>
        <v>116</v>
      </c>
      <c r="D9" s="261">
        <f>日113課程節數預估表!AI82+進113課程節數一覽表!K42</f>
        <v>150</v>
      </c>
      <c r="E9" s="256">
        <f t="shared" si="2"/>
        <v>34</v>
      </c>
      <c r="F9" s="347">
        <f t="shared" si="3"/>
        <v>3.0909090909090908</v>
      </c>
      <c r="G9" s="350">
        <f>AI9+35</f>
        <v>83</v>
      </c>
      <c r="H9" s="350">
        <f t="shared" si="0"/>
        <v>150</v>
      </c>
      <c r="I9" s="351">
        <f t="shared" si="4"/>
        <v>67</v>
      </c>
      <c r="J9" s="349">
        <f t="shared" si="5"/>
        <v>6.0909090909090908</v>
      </c>
      <c r="K9" s="353">
        <f t="shared" si="6"/>
        <v>116</v>
      </c>
      <c r="L9" s="353">
        <f>日114課程節數預估表!AK82+進113課程節數一覽表!K42</f>
        <v>138</v>
      </c>
      <c r="M9" s="353">
        <f t="shared" si="7"/>
        <v>22</v>
      </c>
      <c r="N9" s="353">
        <f t="shared" si="8"/>
        <v>2</v>
      </c>
      <c r="O9" s="341">
        <f t="shared" si="11"/>
        <v>132</v>
      </c>
      <c r="P9" s="341">
        <f t="shared" si="9"/>
        <v>138</v>
      </c>
      <c r="Q9" s="341">
        <f t="shared" si="10"/>
        <v>6</v>
      </c>
      <c r="R9" s="339">
        <v>4</v>
      </c>
      <c r="S9" s="94">
        <v>6</v>
      </c>
      <c r="T9" s="91" t="e">
        <f>#REF!/(AH9-#REF!)</f>
        <v>#REF!</v>
      </c>
      <c r="U9" s="343" t="s">
        <v>298</v>
      </c>
      <c r="V9" s="504"/>
      <c r="W9" s="44">
        <v>2</v>
      </c>
      <c r="X9" s="37">
        <v>1</v>
      </c>
      <c r="Y9" s="44">
        <v>2</v>
      </c>
      <c r="Z9" s="44">
        <v>1</v>
      </c>
      <c r="AA9" s="44"/>
      <c r="AB9" s="47"/>
      <c r="AC9" s="44">
        <v>1</v>
      </c>
      <c r="AD9" s="44"/>
      <c r="AE9" s="44"/>
      <c r="AF9" s="44"/>
      <c r="AG9" s="44">
        <v>1</v>
      </c>
      <c r="AH9" s="45">
        <f>SUM(W9:AG9)</f>
        <v>8</v>
      </c>
      <c r="AI9" s="50">
        <f>(W9*$W$4+X9*$X$4+Y9*$Y$4+Z9*$Z$4+AA9*$AA$4+AB9*$AB$4+AC9*$AC$4+AD9*$AD$4+AE9*$AE$4+AF9*$AF$4+AG9*$AG$4)-7</f>
        <v>48</v>
      </c>
      <c r="AJ9" s="189" t="s">
        <v>303</v>
      </c>
      <c r="AK9" s="329">
        <v>3</v>
      </c>
      <c r="AL9" s="332" t="s">
        <v>463</v>
      </c>
      <c r="AM9" s="329">
        <v>0</v>
      </c>
      <c r="AN9" s="338" t="s">
        <v>294</v>
      </c>
      <c r="AO9" s="501" t="s">
        <v>445</v>
      </c>
      <c r="AP9" s="501"/>
      <c r="AQ9" s="486"/>
      <c r="AR9" s="486"/>
      <c r="AS9" s="487" t="s">
        <v>456</v>
      </c>
    </row>
    <row r="10" spans="2:45" ht="57" customHeight="1" thickBot="1">
      <c r="B10" s="28" t="s">
        <v>7</v>
      </c>
      <c r="C10" s="260">
        <f>(AH10+AK10)*12</f>
        <v>108</v>
      </c>
      <c r="D10" s="261">
        <f>日113課程節數預估表!AH44+進113課程節數一覽表!K15</f>
        <v>142</v>
      </c>
      <c r="E10" s="256">
        <f t="shared" si="2"/>
        <v>34</v>
      </c>
      <c r="F10" s="347">
        <f t="shared" si="3"/>
        <v>3.7777777777777777</v>
      </c>
      <c r="G10" s="350">
        <f>AI10+12</f>
        <v>100</v>
      </c>
      <c r="H10" s="350">
        <f t="shared" si="0"/>
        <v>142</v>
      </c>
      <c r="I10" s="351">
        <f t="shared" si="4"/>
        <v>42</v>
      </c>
      <c r="J10" s="349">
        <f t="shared" si="5"/>
        <v>4.666666666666667</v>
      </c>
      <c r="K10" s="353">
        <f t="shared" si="6"/>
        <v>108</v>
      </c>
      <c r="L10" s="353">
        <f>日114課程節數預估表!AJ44+進113課程節數一覽表!K15</f>
        <v>141</v>
      </c>
      <c r="M10" s="353">
        <f t="shared" si="7"/>
        <v>33</v>
      </c>
      <c r="N10" s="353">
        <f t="shared" si="8"/>
        <v>3.6666666666666665</v>
      </c>
      <c r="O10" s="341">
        <f t="shared" si="11"/>
        <v>108</v>
      </c>
      <c r="P10" s="341">
        <f t="shared" si="9"/>
        <v>141</v>
      </c>
      <c r="Q10" s="341">
        <f t="shared" si="10"/>
        <v>33</v>
      </c>
      <c r="R10" s="339">
        <v>2.8888888888888888</v>
      </c>
      <c r="S10" s="94">
        <v>2</v>
      </c>
      <c r="T10" s="91" t="e">
        <f>#REF!/(AH10-#REF!)</f>
        <v>#REF!</v>
      </c>
      <c r="U10" s="343">
        <v>1</v>
      </c>
      <c r="V10" s="504"/>
      <c r="W10" s="44">
        <v>1</v>
      </c>
      <c r="X10" s="44"/>
      <c r="Y10" s="44"/>
      <c r="Z10" s="44"/>
      <c r="AA10" s="44">
        <v>1</v>
      </c>
      <c r="AB10" s="47"/>
      <c r="AC10" s="44">
        <v>4</v>
      </c>
      <c r="AD10" s="44"/>
      <c r="AE10" s="44"/>
      <c r="AF10" s="44"/>
      <c r="AG10" s="44">
        <v>2</v>
      </c>
      <c r="AH10" s="45">
        <f t="shared" si="1"/>
        <v>8</v>
      </c>
      <c r="AI10" s="48">
        <f>W10*$W$4+X10*$X$4+Y10*$Y$4+Z10*$Z$4+AA10*$AA$4+AB10*$AB$4+AC10*$AC$4+AD10*$AD$4+AE10*$AE$4+AF10*$AF$4+AG10*$AG$4</f>
        <v>88</v>
      </c>
      <c r="AJ10" s="337" t="s">
        <v>305</v>
      </c>
      <c r="AK10" s="329">
        <v>1</v>
      </c>
      <c r="AL10" s="332" t="s">
        <v>464</v>
      </c>
      <c r="AM10" s="329">
        <v>1</v>
      </c>
      <c r="AN10" s="330"/>
      <c r="AO10" s="501" t="s">
        <v>446</v>
      </c>
      <c r="AP10" s="502"/>
      <c r="AQ10" s="486"/>
      <c r="AR10" s="486"/>
      <c r="AS10" s="486"/>
    </row>
    <row r="11" spans="2:45" ht="57.75" customHeight="1" thickBot="1">
      <c r="B11" s="29" t="s">
        <v>8</v>
      </c>
      <c r="C11" s="260">
        <f>(AH11+AK11)*12</f>
        <v>120</v>
      </c>
      <c r="D11" s="261">
        <f>日113課程節數預估表!AH63+進113課程節數一覽表!K28</f>
        <v>151</v>
      </c>
      <c r="E11" s="256">
        <f t="shared" si="2"/>
        <v>31</v>
      </c>
      <c r="F11" s="347">
        <f t="shared" si="3"/>
        <v>3.1</v>
      </c>
      <c r="G11" s="350">
        <f>AI11+12</f>
        <v>107</v>
      </c>
      <c r="H11" s="350">
        <f t="shared" si="0"/>
        <v>151</v>
      </c>
      <c r="I11" s="351">
        <f t="shared" si="4"/>
        <v>44</v>
      </c>
      <c r="J11" s="349">
        <f t="shared" si="5"/>
        <v>4.4000000000000004</v>
      </c>
      <c r="K11" s="353">
        <f t="shared" si="6"/>
        <v>120</v>
      </c>
      <c r="L11" s="353">
        <f>日114課程節數預估表!AJ63+進113課程節數一覽表!K28</f>
        <v>146</v>
      </c>
      <c r="M11" s="353">
        <f t="shared" si="7"/>
        <v>26</v>
      </c>
      <c r="N11" s="353">
        <f t="shared" si="8"/>
        <v>2.6</v>
      </c>
      <c r="O11" s="341">
        <f t="shared" si="11"/>
        <v>120</v>
      </c>
      <c r="P11" s="341">
        <f t="shared" si="9"/>
        <v>146</v>
      </c>
      <c r="Q11" s="341">
        <f t="shared" si="10"/>
        <v>26</v>
      </c>
      <c r="R11" s="339">
        <v>2</v>
      </c>
      <c r="S11" s="94">
        <v>4.33</v>
      </c>
      <c r="T11" s="91" t="e">
        <f>#REF!/(AH11-#REF!)</f>
        <v>#REF!</v>
      </c>
      <c r="U11" s="343">
        <v>1</v>
      </c>
      <c r="V11" s="504"/>
      <c r="W11" s="49"/>
      <c r="X11" s="49">
        <v>1</v>
      </c>
      <c r="Y11" s="49">
        <v>1</v>
      </c>
      <c r="Z11" s="49"/>
      <c r="AA11" s="49">
        <v>1</v>
      </c>
      <c r="AB11" s="49"/>
      <c r="AC11" s="49">
        <v>5</v>
      </c>
      <c r="AD11" s="49"/>
      <c r="AE11" s="49"/>
      <c r="AF11" s="49"/>
      <c r="AG11" s="49">
        <v>1</v>
      </c>
      <c r="AH11" s="45">
        <f t="shared" si="1"/>
        <v>9</v>
      </c>
      <c r="AI11" s="51">
        <f>W11*$W$4+X11*$X$4+Y11*$Y$4+Z11*$Z$4+AA11*$AA$4+AB11*$AB$4+AC11*$AC$4+AD11*$AD$4+AE11*$AE$4+AF11*$AF$4+AG11*$AG$4</f>
        <v>95</v>
      </c>
      <c r="AJ11" s="337" t="s">
        <v>304</v>
      </c>
      <c r="AK11" s="329">
        <v>1</v>
      </c>
      <c r="AL11" s="332" t="s">
        <v>465</v>
      </c>
      <c r="AM11" s="329">
        <v>1</v>
      </c>
      <c r="AN11" s="330"/>
      <c r="AO11" s="501" t="s">
        <v>447</v>
      </c>
      <c r="AP11" s="502"/>
      <c r="AQ11" s="486"/>
      <c r="AR11" s="486"/>
      <c r="AS11" s="486"/>
    </row>
    <row r="12" spans="2:45" ht="45" customHeight="1" thickBot="1">
      <c r="B12" s="29" t="s">
        <v>158</v>
      </c>
      <c r="C12" s="260">
        <f>AI12</f>
        <v>20</v>
      </c>
      <c r="D12" s="261">
        <f>日113課程節數預估表!AH104</f>
        <v>26</v>
      </c>
      <c r="E12" s="256">
        <f t="shared" si="2"/>
        <v>6</v>
      </c>
      <c r="F12" s="347">
        <f t="shared" si="3"/>
        <v>3</v>
      </c>
      <c r="G12" s="350">
        <f t="shared" si="12"/>
        <v>20</v>
      </c>
      <c r="H12" s="350">
        <f t="shared" si="0"/>
        <v>26</v>
      </c>
      <c r="I12" s="351">
        <f t="shared" si="4"/>
        <v>6</v>
      </c>
      <c r="J12" s="349">
        <f t="shared" si="5"/>
        <v>3</v>
      </c>
      <c r="K12" s="353">
        <f t="shared" si="6"/>
        <v>20</v>
      </c>
      <c r="L12" s="353">
        <f>日114課程節數預估表!AK103</f>
        <v>45</v>
      </c>
      <c r="M12" s="353">
        <f t="shared" si="7"/>
        <v>25</v>
      </c>
      <c r="N12" s="353">
        <f t="shared" si="8"/>
        <v>12.5</v>
      </c>
      <c r="O12" s="341">
        <f t="shared" si="11"/>
        <v>24</v>
      </c>
      <c r="P12" s="341">
        <f t="shared" si="9"/>
        <v>45</v>
      </c>
      <c r="Q12" s="341">
        <f t="shared" si="10"/>
        <v>21</v>
      </c>
      <c r="R12" s="339"/>
      <c r="S12" s="94"/>
      <c r="T12" s="91"/>
      <c r="U12" s="343" t="s">
        <v>310</v>
      </c>
      <c r="V12" s="504"/>
      <c r="W12" s="49"/>
      <c r="X12" s="49"/>
      <c r="Y12" s="49"/>
      <c r="Z12" s="49"/>
      <c r="AA12" s="49"/>
      <c r="AB12" s="49">
        <v>2</v>
      </c>
      <c r="AC12" s="49"/>
      <c r="AD12" s="49"/>
      <c r="AE12" s="49"/>
      <c r="AF12" s="49"/>
      <c r="AG12" s="49"/>
      <c r="AH12" s="45">
        <f>SUM(W12:AG12)</f>
        <v>2</v>
      </c>
      <c r="AI12" s="228">
        <v>20</v>
      </c>
      <c r="AJ12" s="76"/>
      <c r="AK12" s="329">
        <v>0</v>
      </c>
      <c r="AL12" s="333" t="s">
        <v>468</v>
      </c>
      <c r="AM12" s="329">
        <v>0</v>
      </c>
      <c r="AN12" s="330"/>
      <c r="AO12" s="499"/>
      <c r="AP12" s="500"/>
      <c r="AQ12" s="485"/>
      <c r="AR12" s="485"/>
      <c r="AS12" s="486"/>
    </row>
    <row r="13" spans="2:45" ht="45" customHeight="1" thickBot="1">
      <c r="B13" s="27" t="s">
        <v>41</v>
      </c>
      <c r="C13" s="260">
        <f>AI13</f>
        <v>0</v>
      </c>
      <c r="D13" s="261">
        <f>日113課程節數預估表!AH122+進113課程節數一覽表!K63</f>
        <v>21</v>
      </c>
      <c r="E13" s="256">
        <f t="shared" si="2"/>
        <v>21</v>
      </c>
      <c r="F13" s="347"/>
      <c r="G13" s="350">
        <f t="shared" si="12"/>
        <v>0</v>
      </c>
      <c r="H13" s="350">
        <f t="shared" si="0"/>
        <v>21</v>
      </c>
      <c r="I13" s="351">
        <f t="shared" si="4"/>
        <v>21</v>
      </c>
      <c r="J13" s="349"/>
      <c r="K13" s="353">
        <f t="shared" si="6"/>
        <v>0</v>
      </c>
      <c r="L13" s="353">
        <f>日114課程節數預估表!AJ134+進113課程節數一覽表!J63</f>
        <v>22</v>
      </c>
      <c r="M13" s="353">
        <f t="shared" si="7"/>
        <v>22</v>
      </c>
      <c r="N13" s="353"/>
      <c r="O13" s="341">
        <f t="shared" si="11"/>
        <v>0</v>
      </c>
      <c r="P13" s="341">
        <f t="shared" si="9"/>
        <v>22</v>
      </c>
      <c r="Q13" s="341">
        <f t="shared" si="10"/>
        <v>22</v>
      </c>
      <c r="R13" s="339">
        <v>18</v>
      </c>
      <c r="S13" s="94">
        <v>2</v>
      </c>
      <c r="T13" s="92" t="e">
        <f>#REF!/(AH13-#REF!)</f>
        <v>#REF!</v>
      </c>
      <c r="U13" s="343">
        <v>1</v>
      </c>
      <c r="V13" s="50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5">
        <f t="shared" si="1"/>
        <v>0</v>
      </c>
      <c r="AI13" s="335">
        <f>W13*$W$4+X13*$X$4+Y13*$Y$4+Z13*$Z$4+AA13*$AA$4+AB13*$AB$4+AC13*$AC$4+AD13*$AD$4+AE13*$AE$4+AF13*$AF$4+AG13*$AG$4</f>
        <v>0</v>
      </c>
      <c r="AJ13" s="58" t="s">
        <v>104</v>
      </c>
      <c r="AK13" s="329">
        <v>0</v>
      </c>
      <c r="AL13" s="332"/>
      <c r="AM13" s="329">
        <v>0</v>
      </c>
      <c r="AN13" s="330"/>
      <c r="AO13" s="499"/>
      <c r="AP13" s="500"/>
      <c r="AQ13" s="485"/>
      <c r="AR13" s="485"/>
      <c r="AS13" s="486"/>
    </row>
    <row r="14" spans="2:45" ht="45" customHeight="1" thickBot="1">
      <c r="B14" s="28" t="s">
        <v>42</v>
      </c>
      <c r="C14" s="260">
        <f>AH14*12</f>
        <v>48</v>
      </c>
      <c r="D14" s="261">
        <f>日113課程節數預估表!AH124+進113課程節數一覽表!J70+進113課程節數一覽表!J71</f>
        <v>61</v>
      </c>
      <c r="E14" s="256">
        <f t="shared" si="2"/>
        <v>13</v>
      </c>
      <c r="F14" s="347">
        <f t="shared" si="3"/>
        <v>2.6</v>
      </c>
      <c r="G14" s="350">
        <f t="shared" si="12"/>
        <v>43</v>
      </c>
      <c r="H14" s="350">
        <f t="shared" si="0"/>
        <v>61</v>
      </c>
      <c r="I14" s="351">
        <f t="shared" si="4"/>
        <v>18</v>
      </c>
      <c r="J14" s="349">
        <f t="shared" si="5"/>
        <v>3.6</v>
      </c>
      <c r="K14" s="353">
        <f t="shared" si="6"/>
        <v>48</v>
      </c>
      <c r="L14" s="353">
        <f>日114課程節數預估表!AJ136+進113課程節數一覽表!J70+進113課程節數一覽表!J71</f>
        <v>61</v>
      </c>
      <c r="M14" s="353">
        <f t="shared" si="7"/>
        <v>13</v>
      </c>
      <c r="N14" s="353">
        <f t="shared" si="8"/>
        <v>2.6</v>
      </c>
      <c r="O14" s="341">
        <f t="shared" si="11"/>
        <v>60</v>
      </c>
      <c r="P14" s="341">
        <f t="shared" si="9"/>
        <v>61</v>
      </c>
      <c r="Q14" s="341">
        <f t="shared" si="10"/>
        <v>1</v>
      </c>
      <c r="R14" s="339">
        <v>5.5</v>
      </c>
      <c r="S14" s="94">
        <v>5.5</v>
      </c>
      <c r="T14" s="91" t="e">
        <f>#REF!/(AH14-#REF!)</f>
        <v>#REF!</v>
      </c>
      <c r="U14" s="343">
        <v>0</v>
      </c>
      <c r="V14" s="504"/>
      <c r="W14" s="44"/>
      <c r="X14" s="44"/>
      <c r="Y14" s="44">
        <v>1</v>
      </c>
      <c r="Z14" s="44"/>
      <c r="AA14" s="44"/>
      <c r="AB14" s="44"/>
      <c r="AC14" s="44">
        <v>3</v>
      </c>
      <c r="AD14" s="44"/>
      <c r="AE14" s="44"/>
      <c r="AF14" s="44"/>
      <c r="AG14" s="44"/>
      <c r="AH14" s="45">
        <f t="shared" si="1"/>
        <v>4</v>
      </c>
      <c r="AI14" s="336">
        <f>W14*$W$4+X14*$X$4+Y14*$Y$4+Z14*$Z$4+AA14*$AA$4+AB14*$AB$4+AC14*$AC$4+AD14*$AD$4+AE14*$AE$4+AF14*$AF$4+AG14*$AG$4</f>
        <v>43</v>
      </c>
      <c r="AJ14" s="58" t="s">
        <v>291</v>
      </c>
      <c r="AK14" s="329">
        <v>1</v>
      </c>
      <c r="AL14" s="332" t="s">
        <v>466</v>
      </c>
      <c r="AM14" s="329">
        <v>0</v>
      </c>
      <c r="AN14" s="330"/>
      <c r="AO14" s="499"/>
      <c r="AP14" s="500"/>
      <c r="AQ14" s="485"/>
      <c r="AR14" s="485"/>
      <c r="AS14" s="486"/>
    </row>
    <row r="15" spans="2:45" ht="51.75" customHeight="1" thickBot="1">
      <c r="B15" s="40" t="s">
        <v>101</v>
      </c>
      <c r="C15" s="260">
        <v>12</v>
      </c>
      <c r="D15" s="261">
        <f>日113課程節數預估表!AH125+日113課程節數預估表!AH127+進113課程節數一覽表!J65+進113課程節數一覽表!J72+進113課程節數一覽表!J73</f>
        <v>34</v>
      </c>
      <c r="E15" s="256">
        <f t="shared" si="2"/>
        <v>22</v>
      </c>
      <c r="F15" s="347"/>
      <c r="G15" s="350">
        <v>7</v>
      </c>
      <c r="H15" s="350">
        <f t="shared" si="0"/>
        <v>34</v>
      </c>
      <c r="I15" s="351">
        <f t="shared" si="4"/>
        <v>27</v>
      </c>
      <c r="J15" s="351"/>
      <c r="K15" s="353">
        <f t="shared" si="6"/>
        <v>12</v>
      </c>
      <c r="L15" s="354">
        <f>日114課程節數預估表!AJ137+日114課程節數預估表!AJ139+進113課程節數一覽表!J65+進113課程節數一覽表!J72+進113課程節數一覽表!J73</f>
        <v>25</v>
      </c>
      <c r="M15" s="353">
        <f t="shared" si="7"/>
        <v>13</v>
      </c>
      <c r="N15" s="353"/>
      <c r="O15" s="341">
        <v>12</v>
      </c>
      <c r="P15" s="341">
        <f t="shared" si="9"/>
        <v>25</v>
      </c>
      <c r="Q15" s="341">
        <f t="shared" si="10"/>
        <v>13</v>
      </c>
      <c r="R15" s="339">
        <v>0.66666666666666663</v>
      </c>
      <c r="S15" s="94">
        <v>-1.33</v>
      </c>
      <c r="T15" s="92" t="e">
        <f>#REF!/(AH15-#REF!)</f>
        <v>#REF!</v>
      </c>
      <c r="U15" s="343">
        <v>0</v>
      </c>
      <c r="V15" s="504"/>
      <c r="W15" s="49">
        <v>1</v>
      </c>
      <c r="X15" s="49">
        <v>1</v>
      </c>
      <c r="Y15" s="38">
        <v>1</v>
      </c>
      <c r="Z15" s="49"/>
      <c r="AA15" s="49"/>
      <c r="AB15" s="49"/>
      <c r="AC15" s="49"/>
      <c r="AD15" s="49"/>
      <c r="AE15" s="49"/>
      <c r="AF15" s="49"/>
      <c r="AG15" s="49"/>
      <c r="AH15" s="45">
        <f t="shared" si="1"/>
        <v>3</v>
      </c>
      <c r="AI15" s="335">
        <f>W15*$W$4+X15*$X$4+Y15*$Y$4+Z15*$Z$4+AA15*$AA$4+AB15*$AB$4+AC15*$AC$4+AD15*$AD$4+AE15*$AE$4+AF15*$AF$4+AG15*$AG$4</f>
        <v>13</v>
      </c>
      <c r="AJ15" s="58" t="s">
        <v>302</v>
      </c>
      <c r="AK15" s="329">
        <v>1</v>
      </c>
      <c r="AL15" s="332" t="s">
        <v>292</v>
      </c>
      <c r="AM15" s="329">
        <v>0</v>
      </c>
      <c r="AN15" s="330"/>
      <c r="AO15" s="501" t="s">
        <v>278</v>
      </c>
      <c r="AP15" s="502"/>
      <c r="AQ15" s="485"/>
      <c r="AR15" s="485"/>
      <c r="AS15" s="487" t="s">
        <v>455</v>
      </c>
    </row>
    <row r="16" spans="2:45" ht="45" customHeight="1" thickBot="1">
      <c r="B16" s="73" t="s">
        <v>19</v>
      </c>
      <c r="C16" s="262"/>
      <c r="D16" s="263">
        <f>9+進113課程節數一覽表!J73</f>
        <v>11</v>
      </c>
      <c r="E16" s="257">
        <v>9</v>
      </c>
      <c r="F16" s="347"/>
      <c r="G16" s="350"/>
      <c r="H16" s="350">
        <f t="shared" si="0"/>
        <v>11</v>
      </c>
      <c r="I16" s="351">
        <v>9</v>
      </c>
      <c r="J16" s="351"/>
      <c r="K16" s="354"/>
      <c r="L16" s="354">
        <f>9+進113課程節數一覽表!J73</f>
        <v>11</v>
      </c>
      <c r="M16" s="354"/>
      <c r="N16" s="354"/>
      <c r="O16" s="341">
        <v>0</v>
      </c>
      <c r="P16" s="341">
        <f t="shared" si="9"/>
        <v>11</v>
      </c>
      <c r="Q16" s="341">
        <f t="shared" si="10"/>
        <v>11</v>
      </c>
      <c r="R16" s="340">
        <v>-2</v>
      </c>
      <c r="S16" s="95">
        <v>-4.25</v>
      </c>
      <c r="T16" s="93" t="e">
        <f>#REF!/(AH16-#REF!)</f>
        <v>#REF!</v>
      </c>
      <c r="U16" s="343" t="s">
        <v>471</v>
      </c>
      <c r="V16" s="505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5"/>
      <c r="AI16" s="336">
        <f>W16*$W$4+X16*$X$4+Y16*$Y$4+Z16*$Z$4+AA16*$AA$4+AB16*$AB$4+AC16*$AC$4+AD16*$AD$4+AE16*$AE$4+AF16*$AF$4+AG16*$AG$4</f>
        <v>0</v>
      </c>
      <c r="AJ16" s="334" t="s">
        <v>293</v>
      </c>
      <c r="AK16" s="329">
        <v>1</v>
      </c>
      <c r="AL16" s="486" t="s">
        <v>457</v>
      </c>
      <c r="AM16" s="329">
        <v>0</v>
      </c>
      <c r="AN16" s="330"/>
      <c r="AO16" s="499"/>
      <c r="AP16" s="500"/>
      <c r="AQ16" s="485"/>
      <c r="AR16" s="485"/>
      <c r="AS16" s="487"/>
    </row>
    <row r="17" spans="2:36" ht="3.75" customHeight="1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R17" s="32"/>
      <c r="S17" s="32"/>
      <c r="T17" s="32"/>
      <c r="U17" s="1"/>
      <c r="V17" s="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3"/>
      <c r="AI17" s="2"/>
      <c r="AJ17" s="34"/>
    </row>
    <row r="18" spans="2:36" ht="21.75" customHeight="1">
      <c r="B18" s="4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U18" s="1"/>
      <c r="W18" s="1">
        <f>SUM(W5:W16)</f>
        <v>7</v>
      </c>
      <c r="X18" s="1">
        <f t="shared" ref="X18:AH18" si="13">SUM(X5:X16)</f>
        <v>5</v>
      </c>
      <c r="Y18" s="1">
        <f t="shared" si="13"/>
        <v>6</v>
      </c>
      <c r="Z18" s="1">
        <f t="shared" si="13"/>
        <v>1</v>
      </c>
      <c r="AA18" s="1">
        <f t="shared" si="13"/>
        <v>3</v>
      </c>
      <c r="AB18" s="1">
        <f t="shared" si="13"/>
        <v>6</v>
      </c>
      <c r="AC18" s="1">
        <f t="shared" si="13"/>
        <v>22</v>
      </c>
      <c r="AD18" s="1">
        <f t="shared" si="13"/>
        <v>0</v>
      </c>
      <c r="AE18" s="1">
        <f t="shared" si="13"/>
        <v>0</v>
      </c>
      <c r="AF18" s="1">
        <f t="shared" si="13"/>
        <v>2</v>
      </c>
      <c r="AG18" s="1">
        <f t="shared" si="13"/>
        <v>8</v>
      </c>
      <c r="AH18" s="1">
        <f t="shared" si="13"/>
        <v>61</v>
      </c>
    </row>
    <row r="19" spans="2:36" ht="20.100000000000001" customHeight="1">
      <c r="B19" s="26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T19"/>
      <c r="U19" s="1"/>
      <c r="AC19" s="36"/>
      <c r="AD19" s="36" t="s">
        <v>48</v>
      </c>
    </row>
    <row r="20" spans="2:36" ht="20.100000000000001" customHeight="1">
      <c r="B20" s="264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U20" s="1"/>
      <c r="X20" s="6"/>
      <c r="AE20" s="35"/>
      <c r="AF20" s="35"/>
      <c r="AG20" s="35"/>
      <c r="AH20" s="35"/>
    </row>
    <row r="21" spans="2:36" ht="20.100000000000001" customHeight="1">
      <c r="B21" s="26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U21" s="1"/>
      <c r="AF21"/>
      <c r="AG21"/>
    </row>
    <row r="22" spans="2:36" ht="20.100000000000001" customHeight="1">
      <c r="B22" s="26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U22" s="1"/>
      <c r="AF22"/>
      <c r="AG22"/>
    </row>
    <row r="23" spans="2:36" ht="16.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U23" s="1"/>
      <c r="AF23"/>
      <c r="AG23"/>
    </row>
    <row r="24" spans="2:36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U24" s="1"/>
    </row>
    <row r="25" spans="2:36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U25" s="1"/>
    </row>
    <row r="26" spans="2:36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U26" s="1"/>
    </row>
    <row r="27" spans="2:36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U27" s="1"/>
    </row>
    <row r="28" spans="2:36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U28" s="1"/>
    </row>
    <row r="29" spans="2:36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U29" s="1"/>
    </row>
    <row r="30" spans="2:36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U30" s="1"/>
    </row>
    <row r="31" spans="2:36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U31" s="1"/>
    </row>
    <row r="32" spans="2:36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U32" s="1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pans="3:2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U81" s="1"/>
    </row>
    <row r="82" spans="3:2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U82" s="1"/>
    </row>
    <row r="83" spans="3:2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U83" s="1"/>
    </row>
    <row r="84" spans="3:2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U84" s="1"/>
    </row>
    <row r="85" spans="3:2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3:2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3:2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3:2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3:2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3:2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3:2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3:2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3:2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3:2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3:2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3:2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3:16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3:16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3:16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3:16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3:16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3:16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3:16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3:16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3:16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3:1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3:16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3:16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3:16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3:16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3:16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3:16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3:16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3:16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3:16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3: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3:16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3:16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3:16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3:16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3:16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3:16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3:16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3:16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3:16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3:1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3:16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3:16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3:16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3:16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3:16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3:16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3:16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3:16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3:16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3:1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3:16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3:16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3:16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3:16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3:16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3:16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3:16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3:16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3:16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3:1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3:16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3:16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3:16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3:16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3:16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3:16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3:16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3:16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3:16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3:1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3:16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3:16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3:16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3:16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3:16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3:16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3:16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3:16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3:16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3:1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3:16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3:16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3:16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3:16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3:16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3:16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3:16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3:16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3:16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3:1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3:16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3:16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3:16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3:16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3:16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3:16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3:16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3:16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3:16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3:1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3:16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3:16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3:16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3:16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3:16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3:16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3:16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3:16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3:16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3:1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3:16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3:16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3:16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3:16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3:16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3:16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3:16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3:16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3:16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3:1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3:16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3:16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3:16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3:16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3:16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3:16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3:16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3:16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3:16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3: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3:16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3:16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3:16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3:16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3:16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3:16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3:16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3:16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3:16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3:1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3:16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3:16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3:16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3:16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3:16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3:16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3:16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3:16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3:16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3:1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3:16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3:16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3:16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3:16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3:16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3:16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3:16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3:16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3:16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3:1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3:16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3:16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3:16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3:16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3:16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3:16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3:16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3:16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3:16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3:1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3:16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3:16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3:16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3:16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3:16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3:16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3:16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3:16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3:16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3:1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3:16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3:16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3:16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3:16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3:16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3:16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3:16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3:16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3:16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3:1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3:16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3:16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3:16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3:16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3:16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3:16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3:16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3:16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3:16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3:1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3:16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3:16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3:16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3:16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3:16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3:16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3:16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3:16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3:16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3:1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3:16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3:16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3:16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3:16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3:16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3:16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3:16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3:16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3:16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3:1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3:16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3:16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3:16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3:16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3:16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3:16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3:16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3:16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3:16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3: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3:16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3:16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3:16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3:16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3:16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3:16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3:16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3:16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3:16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3:1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3:16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3:16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3:16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3:16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3:16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3:16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3:16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3:16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3:16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3:1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3:16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3:16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3:16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3:16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3:16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3:16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3:16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3:16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3:16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3:1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3:16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3:16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3:16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3:16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3:16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3:16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3:16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3:16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3:16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3:1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3:16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3:16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3:16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3:16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3:16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3:16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3:16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3:16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3:16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3:1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3:16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3:16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3:16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3:16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3:16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3:16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3:16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3:16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3:16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3:1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3:16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3:16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3:16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3:16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3:16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3:16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3:16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3:16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3:16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3:1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3:16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3:16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3:16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3:16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3:16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3:16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3:16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3:16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3:16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3:1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3:16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3:16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3:16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3:16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3:16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3:16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3:16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3:16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3:16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3:1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3:16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3:16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3:16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3:16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3:16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3:16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3:16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3:16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3:16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3: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3:16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3:16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3:16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3:16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3:16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3:16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3:16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3:16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3:16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3:1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3:16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3:16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3:16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3:16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3:16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3:16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3:16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3:16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3:16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3:1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3:16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3:16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3:16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3:16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3:16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3:16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3:16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3:16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3:16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3:1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3:16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3:16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3:16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3:16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3:16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3:16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3:16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3:16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3:16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3:1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3:16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3:16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3:16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3:16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3:16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3:16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3:16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3:16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3:16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3:1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3:16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3:16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3:16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3:16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3:16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3:16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3:16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3:16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3:16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3:1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3:16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3:16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3:16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3:16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3:16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3:16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3:16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3:16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3:16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3:1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3:16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3:16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3:16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3:16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3:16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3:16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3:16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3:16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3:16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3:1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3:16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3:16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3:16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3:16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3:16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3:16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3:16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3:16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3:16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3:1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3:16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3:16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3:16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3:16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3:16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3:16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3:16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3:16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3:16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3: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3:16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3:16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3:16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3:16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3:16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3:16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3:16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3:16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3:16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3:1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3:16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3:16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3:16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3:16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3:16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3:16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3:16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3:16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3:16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3:1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3:16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3:16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3:16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3:16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3:16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3:16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3:16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3:16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3:16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3:1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3:16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3:16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3:16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3:16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3:16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3:16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3:16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3:16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3:16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3:1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3:16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3:16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3:16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3:16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3:16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3:16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3:16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3:16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3:16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3:1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3:16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3:16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3:16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3:16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3:16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3:16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3:16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3:16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3:16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3:1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3:16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3:16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3:16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3:16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3:16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3:16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3:16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3:16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3:16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3:1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3:16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3:16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3:16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3:16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3:16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3:16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3:16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3:16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3:16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3:1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3:16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3:16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3:16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3:16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3:16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3:16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3:16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3:16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3:16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3:1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3:16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3:16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3:16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3:16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3:16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3:16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3:16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3:16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3:16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3: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3:16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3:16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3:16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3:16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3:16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3:16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3:16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3:16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3:16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3:1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3:16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3:16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3:16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3:16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3:16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3:16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3:16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3:16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3:16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3:1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3:16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3:16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3:16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3:16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3:16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3:16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3:16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3:16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3:16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3:1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3:16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3:16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3:16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3:16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3:16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3:16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3:16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3:16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3:16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3:1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3:16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3:16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3:16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3:16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3:16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3:16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3:16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3:16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3:16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3:1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3:16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3:16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3:16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3:16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3:16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3:16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3:16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3:16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3:16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3:1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3:16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3:16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3:16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3:16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3:16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3:16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3:16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3:16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3:16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3:1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3:16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3:16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3:16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3:16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3:16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3:16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3:16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3:16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3:16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3:1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3:16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3:16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3:16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3:16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3:16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3:16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3:16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3:16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3:16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3:1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3:16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3:16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3:16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3:16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3:16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3:16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3:16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3:16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3:16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3: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3:16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3:16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3:16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3:16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3:16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3:16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3:16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3:16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3:16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3:1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3:16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3:16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3:16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3:16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3:16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3:16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</sheetData>
  <mergeCells count="54">
    <mergeCell ref="AS2:AS4"/>
    <mergeCell ref="AR2:AR4"/>
    <mergeCell ref="B1:AS1"/>
    <mergeCell ref="M3:M4"/>
    <mergeCell ref="N3:N4"/>
    <mergeCell ref="AQ2:AQ4"/>
    <mergeCell ref="B3:B4"/>
    <mergeCell ref="R3:R4"/>
    <mergeCell ref="S3:S4"/>
    <mergeCell ref="T3:T4"/>
    <mergeCell ref="X3:Y3"/>
    <mergeCell ref="O2:O4"/>
    <mergeCell ref="P2:P4"/>
    <mergeCell ref="U2:U4"/>
    <mergeCell ref="G3:G4"/>
    <mergeCell ref="H3:H4"/>
    <mergeCell ref="I3:I4"/>
    <mergeCell ref="G2:J2"/>
    <mergeCell ref="J3:J4"/>
    <mergeCell ref="K2:N2"/>
    <mergeCell ref="K3:K4"/>
    <mergeCell ref="L3:L4"/>
    <mergeCell ref="AO2:AP4"/>
    <mergeCell ref="AO5:AP5"/>
    <mergeCell ref="AO6:AP6"/>
    <mergeCell ref="C2:F2"/>
    <mergeCell ref="C3:C4"/>
    <mergeCell ref="D3:D4"/>
    <mergeCell ref="E3:E4"/>
    <mergeCell ref="F3:F4"/>
    <mergeCell ref="AE3:AG3"/>
    <mergeCell ref="AH3:AH4"/>
    <mergeCell ref="AI3:AI4"/>
    <mergeCell ref="Q2:Q4"/>
    <mergeCell ref="R2:T2"/>
    <mergeCell ref="AJ2:AJ4"/>
    <mergeCell ref="AK2:AK4"/>
    <mergeCell ref="AN2:AN4"/>
    <mergeCell ref="AO13:AP13"/>
    <mergeCell ref="AO14:AP14"/>
    <mergeCell ref="AO15:AP15"/>
    <mergeCell ref="AO16:AP16"/>
    <mergeCell ref="V5:V16"/>
    <mergeCell ref="AO11:AP11"/>
    <mergeCell ref="AO12:AP12"/>
    <mergeCell ref="AO7:AP7"/>
    <mergeCell ref="AO8:AP8"/>
    <mergeCell ref="AO9:AP9"/>
    <mergeCell ref="AO10:AP10"/>
    <mergeCell ref="AM2:AM4"/>
    <mergeCell ref="Z3:AA3"/>
    <mergeCell ref="AB3:AD3"/>
    <mergeCell ref="V2:AI2"/>
    <mergeCell ref="AL2:AL4"/>
  </mergeCells>
  <phoneticPr fontId="2" type="noConversion"/>
  <printOptions horizontalCentered="1"/>
  <pageMargins left="0.25" right="0.25" top="0.75" bottom="0.75" header="0.3" footer="0.3"/>
  <pageSetup paperSize="8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AM158"/>
  <sheetViews>
    <sheetView topLeftCell="A34" zoomScale="85" zoomScaleNormal="85" workbookViewId="0">
      <selection activeCell="AF45" sqref="AF45"/>
    </sheetView>
  </sheetViews>
  <sheetFormatPr defaultColWidth="9" defaultRowHeight="15"/>
  <cols>
    <col min="1" max="1" width="0.875" style="1" customWidth="1"/>
    <col min="2" max="2" width="7.875" style="1" customWidth="1"/>
    <col min="3" max="3" width="37.5" style="3" bestFit="1" customWidth="1"/>
    <col min="4" max="5" width="3.625" style="3" customWidth="1"/>
    <col min="6" max="31" width="3.625" style="1" customWidth="1"/>
    <col min="32" max="33" width="4.625" style="1" customWidth="1"/>
    <col min="34" max="35" width="6.875" style="1" bestFit="1" customWidth="1"/>
    <col min="36" max="36" width="2.875" style="1" customWidth="1"/>
    <col min="37" max="37" width="22" style="2" customWidth="1"/>
    <col min="38" max="38" width="8.5" style="1" customWidth="1"/>
    <col min="39" max="16384" width="9" style="1"/>
  </cols>
  <sheetData>
    <row r="1" spans="2:39" ht="27.75">
      <c r="B1" s="24" t="s">
        <v>206</v>
      </c>
      <c r="F1" s="4"/>
      <c r="G1" s="573" t="s">
        <v>207</v>
      </c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F1" s="4"/>
      <c r="AG1" s="4"/>
      <c r="AH1" s="4"/>
      <c r="AI1" s="4"/>
    </row>
    <row r="2" spans="2:39" ht="16.5">
      <c r="B2" s="560" t="s">
        <v>10</v>
      </c>
      <c r="C2" s="563" t="s">
        <v>1</v>
      </c>
      <c r="D2" s="584" t="s">
        <v>93</v>
      </c>
      <c r="E2" s="585"/>
      <c r="F2" s="585"/>
      <c r="G2" s="585"/>
      <c r="H2" s="585"/>
      <c r="I2" s="585"/>
      <c r="J2" s="585"/>
      <c r="K2" s="585"/>
      <c r="L2" s="585"/>
      <c r="M2" s="576"/>
      <c r="N2" s="570" t="s">
        <v>92</v>
      </c>
      <c r="O2" s="571"/>
      <c r="P2" s="571"/>
      <c r="Q2" s="571"/>
      <c r="R2" s="571"/>
      <c r="S2" s="571"/>
      <c r="T2" s="571"/>
      <c r="U2" s="571"/>
      <c r="V2" s="571"/>
      <c r="W2" s="572"/>
      <c r="X2" s="586" t="s">
        <v>2</v>
      </c>
      <c r="Y2" s="587"/>
      <c r="Z2" s="588"/>
      <c r="AA2" s="588"/>
      <c r="AB2" s="588"/>
      <c r="AC2" s="588"/>
      <c r="AD2" s="588"/>
      <c r="AE2" s="19"/>
      <c r="AF2" s="589" t="s">
        <v>3</v>
      </c>
      <c r="AG2" s="576"/>
      <c r="AH2" s="575" t="s">
        <v>26</v>
      </c>
      <c r="AI2" s="576"/>
      <c r="AK2" s="579"/>
    </row>
    <row r="3" spans="2:39" ht="16.5">
      <c r="B3" s="561"/>
      <c r="C3" s="561"/>
      <c r="D3" s="581" t="s">
        <v>158</v>
      </c>
      <c r="E3" s="572"/>
      <c r="F3" s="582" t="s">
        <v>6</v>
      </c>
      <c r="G3" s="583"/>
      <c r="H3" s="582" t="s">
        <v>7</v>
      </c>
      <c r="I3" s="583"/>
      <c r="J3" s="582" t="s">
        <v>8</v>
      </c>
      <c r="K3" s="583"/>
      <c r="L3" s="582" t="s">
        <v>242</v>
      </c>
      <c r="M3" s="583"/>
      <c r="N3" s="557" t="s">
        <v>205</v>
      </c>
      <c r="O3" s="558"/>
      <c r="P3" s="557" t="s">
        <v>6</v>
      </c>
      <c r="Q3" s="558"/>
      <c r="R3" s="557" t="s">
        <v>7</v>
      </c>
      <c r="S3" s="558"/>
      <c r="T3" s="557" t="s">
        <v>8</v>
      </c>
      <c r="U3" s="558"/>
      <c r="V3" s="557" t="s">
        <v>243</v>
      </c>
      <c r="W3" s="558"/>
      <c r="X3" s="568" t="s">
        <v>6</v>
      </c>
      <c r="Y3" s="569"/>
      <c r="Z3" s="568" t="s">
        <v>7</v>
      </c>
      <c r="AA3" s="569"/>
      <c r="AB3" s="568" t="s">
        <v>8</v>
      </c>
      <c r="AC3" s="569"/>
      <c r="AD3" s="568" t="s">
        <v>243</v>
      </c>
      <c r="AE3" s="569"/>
      <c r="AF3" s="577"/>
      <c r="AG3" s="578"/>
      <c r="AH3" s="577"/>
      <c r="AI3" s="578"/>
      <c r="AK3" s="580"/>
    </row>
    <row r="4" spans="2:39" ht="17.25" thickBot="1">
      <c r="B4" s="562"/>
      <c r="C4" s="562"/>
      <c r="D4" s="227" t="s">
        <v>24</v>
      </c>
      <c r="E4" s="227" t="s">
        <v>25</v>
      </c>
      <c r="F4" s="62" t="s">
        <v>24</v>
      </c>
      <c r="G4" s="63" t="s">
        <v>25</v>
      </c>
      <c r="H4" s="62" t="s">
        <v>24</v>
      </c>
      <c r="I4" s="63" t="s">
        <v>25</v>
      </c>
      <c r="J4" s="62" t="s">
        <v>24</v>
      </c>
      <c r="K4" s="63" t="s">
        <v>25</v>
      </c>
      <c r="L4" s="62" t="s">
        <v>24</v>
      </c>
      <c r="M4" s="63" t="s">
        <v>25</v>
      </c>
      <c r="N4" s="64" t="s">
        <v>24</v>
      </c>
      <c r="O4" s="65" t="s">
        <v>25</v>
      </c>
      <c r="P4" s="64" t="s">
        <v>24</v>
      </c>
      <c r="Q4" s="65" t="s">
        <v>25</v>
      </c>
      <c r="R4" s="64" t="s">
        <v>24</v>
      </c>
      <c r="S4" s="65" t="s">
        <v>25</v>
      </c>
      <c r="T4" s="64" t="s">
        <v>24</v>
      </c>
      <c r="U4" s="65" t="s">
        <v>25</v>
      </c>
      <c r="V4" s="64" t="s">
        <v>24</v>
      </c>
      <c r="W4" s="65" t="s">
        <v>25</v>
      </c>
      <c r="X4" s="66" t="s">
        <v>24</v>
      </c>
      <c r="Y4" s="67" t="s">
        <v>25</v>
      </c>
      <c r="Z4" s="66" t="s">
        <v>24</v>
      </c>
      <c r="AA4" s="67" t="s">
        <v>25</v>
      </c>
      <c r="AB4" s="205" t="s">
        <v>24</v>
      </c>
      <c r="AC4" s="206" t="s">
        <v>25</v>
      </c>
      <c r="AD4" s="205" t="s">
        <v>24</v>
      </c>
      <c r="AE4" s="206" t="s">
        <v>25</v>
      </c>
      <c r="AF4" s="70" t="s">
        <v>24</v>
      </c>
      <c r="AG4" s="71" t="s">
        <v>25</v>
      </c>
      <c r="AH4" s="68" t="s">
        <v>24</v>
      </c>
      <c r="AI4" s="69" t="s">
        <v>25</v>
      </c>
    </row>
    <row r="5" spans="2:39" ht="25.35" customHeight="1" thickTop="1" thickBot="1">
      <c r="B5" s="564" t="s">
        <v>20</v>
      </c>
      <c r="C5" s="59" t="s">
        <v>52</v>
      </c>
      <c r="D5" s="101">
        <v>3</v>
      </c>
      <c r="E5" s="102">
        <v>3</v>
      </c>
      <c r="F5" s="101">
        <v>3</v>
      </c>
      <c r="G5" s="102">
        <v>3</v>
      </c>
      <c r="H5" s="101">
        <v>3</v>
      </c>
      <c r="I5" s="102">
        <v>3</v>
      </c>
      <c r="J5" s="101">
        <v>3</v>
      </c>
      <c r="K5" s="102">
        <v>3</v>
      </c>
      <c r="L5" s="101">
        <v>3</v>
      </c>
      <c r="M5" s="102">
        <v>3</v>
      </c>
      <c r="N5" s="128">
        <v>3</v>
      </c>
      <c r="O5" s="139">
        <v>3</v>
      </c>
      <c r="P5" s="128">
        <v>3</v>
      </c>
      <c r="Q5" s="139">
        <v>3</v>
      </c>
      <c r="R5" s="128">
        <v>3</v>
      </c>
      <c r="S5" s="139">
        <v>3</v>
      </c>
      <c r="T5" s="128">
        <v>3</v>
      </c>
      <c r="U5" s="139">
        <v>3</v>
      </c>
      <c r="V5" s="128">
        <v>3</v>
      </c>
      <c r="W5" s="139">
        <v>3</v>
      </c>
      <c r="X5" s="153">
        <v>2</v>
      </c>
      <c r="Y5" s="154">
        <v>2</v>
      </c>
      <c r="Z5" s="153">
        <v>2</v>
      </c>
      <c r="AA5" s="154">
        <v>2</v>
      </c>
      <c r="AB5" s="155">
        <v>2</v>
      </c>
      <c r="AC5" s="156">
        <v>2</v>
      </c>
      <c r="AD5" s="155">
        <v>2</v>
      </c>
      <c r="AE5" s="156">
        <v>2</v>
      </c>
      <c r="AF5" s="75">
        <f>F5*2+H5*2+J5*2+L5*2+P5*2+R5*2+T5*2+V5*2+X5*3+Z5*2+AB5*2+AD5*2+D5+N5</f>
        <v>72</v>
      </c>
      <c r="AG5" s="75">
        <f>G5*2+I5*2+K5*2+M5*2+Q5*2+S5*2+U5*2+W5*2+Y5*3+AA5*2+AC5*2+AE5*2+E5+O5</f>
        <v>72</v>
      </c>
      <c r="AH5" s="5">
        <f>SUM(AF5:AF13)</f>
        <v>112</v>
      </c>
      <c r="AI5" s="5">
        <f>SUM(AG5:AG13)</f>
        <v>116</v>
      </c>
    </row>
    <row r="6" spans="2:39" ht="25.35" customHeight="1" thickTop="1">
      <c r="B6" s="565"/>
      <c r="C6" s="43" t="s">
        <v>70</v>
      </c>
      <c r="D6" s="101">
        <v>1</v>
      </c>
      <c r="E6" s="102">
        <v>1</v>
      </c>
      <c r="F6" s="103">
        <v>1</v>
      </c>
      <c r="G6" s="104">
        <v>1</v>
      </c>
      <c r="H6" s="103">
        <v>1</v>
      </c>
      <c r="I6" s="104">
        <v>1</v>
      </c>
      <c r="J6" s="103">
        <v>1</v>
      </c>
      <c r="K6" s="104">
        <v>1</v>
      </c>
      <c r="L6" s="103">
        <v>1</v>
      </c>
      <c r="M6" s="104">
        <v>1</v>
      </c>
      <c r="N6" s="129"/>
      <c r="O6" s="130"/>
      <c r="P6" s="129"/>
      <c r="Q6" s="130"/>
      <c r="R6" s="129"/>
      <c r="S6" s="130"/>
      <c r="T6" s="129"/>
      <c r="U6" s="130"/>
      <c r="V6" s="129"/>
      <c r="W6" s="130"/>
      <c r="X6" s="155"/>
      <c r="Y6" s="156"/>
      <c r="Z6" s="155"/>
      <c r="AA6" s="156"/>
      <c r="AB6" s="155"/>
      <c r="AC6" s="156"/>
      <c r="AD6" s="155"/>
      <c r="AE6" s="156"/>
      <c r="AF6" s="79">
        <f>F6*2+H6*2+J6*2+L6*2+P6*3+R6*2+T6*2+V6*2+X6*3+Z6*2+AB6*2+AD6*2+D6</f>
        <v>9</v>
      </c>
      <c r="AG6" s="79">
        <f>G6*2+I6*2+K6*2+M6*2+Q6*3+S6*2+U6*2+W6*2+Y6*3+AA6*2+AC6*2+AE6*2+E6</f>
        <v>9</v>
      </c>
      <c r="AH6" s="8"/>
      <c r="AI6" s="8"/>
      <c r="AK6" s="224"/>
    </row>
    <row r="7" spans="2:39" ht="25.35" customHeight="1">
      <c r="B7" s="565"/>
      <c r="C7" s="43" t="s">
        <v>224</v>
      </c>
      <c r="D7" s="229"/>
      <c r="E7" s="230"/>
      <c r="F7" s="103"/>
      <c r="G7" s="104"/>
      <c r="H7" s="103"/>
      <c r="I7" s="104"/>
      <c r="J7" s="103"/>
      <c r="K7" s="104"/>
      <c r="L7" s="103"/>
      <c r="M7" s="104"/>
      <c r="N7" s="129"/>
      <c r="O7" s="130"/>
      <c r="P7" s="129"/>
      <c r="Q7" s="130"/>
      <c r="R7" s="129"/>
      <c r="S7" s="130"/>
      <c r="T7" s="129"/>
      <c r="U7" s="130"/>
      <c r="V7" s="129"/>
      <c r="W7" s="130"/>
      <c r="X7" s="155">
        <v>1</v>
      </c>
      <c r="Y7" s="156">
        <v>1</v>
      </c>
      <c r="Z7" s="155">
        <v>1</v>
      </c>
      <c r="AA7" s="156">
        <v>1</v>
      </c>
      <c r="AB7" s="155">
        <v>1</v>
      </c>
      <c r="AC7" s="156">
        <v>1</v>
      </c>
      <c r="AD7" s="155">
        <v>1</v>
      </c>
      <c r="AE7" s="156">
        <v>1</v>
      </c>
      <c r="AF7" s="79">
        <f>F7*3+H7*2+J7*2+L7*2+P7*3+R7*2+T7*2+V7*2+X7*3+Z7*2+AB7*2+AD7*2</f>
        <v>9</v>
      </c>
      <c r="AG7" s="79">
        <f>G7*3+I7*2+K7*2+M7*2+Q7*3+S7*2+U7*2+W7*2+Y7*3+AA7*2+AC7*2+AE7*2</f>
        <v>9</v>
      </c>
      <c r="AH7" s="8"/>
      <c r="AI7" s="8"/>
      <c r="AK7" s="224"/>
    </row>
    <row r="8" spans="2:39" ht="25.35" customHeight="1">
      <c r="B8" s="565"/>
      <c r="C8" s="43" t="s">
        <v>73</v>
      </c>
      <c r="D8" s="229"/>
      <c r="E8" s="230"/>
      <c r="F8" s="103"/>
      <c r="G8" s="104"/>
      <c r="H8" s="103"/>
      <c r="I8" s="104"/>
      <c r="J8" s="103"/>
      <c r="K8" s="104"/>
      <c r="L8" s="103"/>
      <c r="M8" s="104"/>
      <c r="N8" s="129">
        <v>1</v>
      </c>
      <c r="O8" s="130">
        <v>1</v>
      </c>
      <c r="P8" s="129">
        <v>1</v>
      </c>
      <c r="Q8" s="130">
        <v>1</v>
      </c>
      <c r="R8" s="129">
        <v>1</v>
      </c>
      <c r="S8" s="130">
        <v>1</v>
      </c>
      <c r="T8" s="129">
        <v>1</v>
      </c>
      <c r="U8" s="130">
        <v>1</v>
      </c>
      <c r="V8" s="129">
        <v>1</v>
      </c>
      <c r="W8" s="130">
        <v>1</v>
      </c>
      <c r="X8" s="155"/>
      <c r="Y8" s="156"/>
      <c r="Z8" s="155"/>
      <c r="AA8" s="156"/>
      <c r="AB8" s="155"/>
      <c r="AC8" s="156"/>
      <c r="AD8" s="155"/>
      <c r="AE8" s="156"/>
      <c r="AF8" s="79">
        <f>P8*2+R8*2+T8*2+V8*2+X8*3+Z8*2+AB8*2+AD8*2+N8</f>
        <v>9</v>
      </c>
      <c r="AG8" s="79">
        <f>Q8*2+S8*2+U8*2+W8*2+O8</f>
        <v>9</v>
      </c>
      <c r="AH8" s="8"/>
      <c r="AI8" s="8"/>
      <c r="AK8" s="224"/>
    </row>
    <row r="9" spans="2:39" ht="25.35" customHeight="1">
      <c r="B9" s="566"/>
      <c r="C9" s="43" t="s">
        <v>240</v>
      </c>
      <c r="D9" s="231"/>
      <c r="E9" s="232"/>
      <c r="F9" s="115"/>
      <c r="G9" s="116"/>
      <c r="H9" s="115"/>
      <c r="I9" s="116"/>
      <c r="J9" s="115"/>
      <c r="K9" s="116"/>
      <c r="L9" s="115"/>
      <c r="M9" s="116"/>
      <c r="N9" s="140"/>
      <c r="O9" s="141"/>
      <c r="P9" s="140"/>
      <c r="Q9" s="141"/>
      <c r="R9" s="140"/>
      <c r="S9" s="141"/>
      <c r="T9" s="140"/>
      <c r="U9" s="141"/>
      <c r="V9" s="140"/>
      <c r="W9" s="141"/>
      <c r="X9" s="167"/>
      <c r="Y9" s="168"/>
      <c r="Z9" s="167"/>
      <c r="AA9" s="168"/>
      <c r="AB9" s="167"/>
      <c r="AC9" s="168"/>
      <c r="AD9" s="167"/>
      <c r="AE9" s="168"/>
      <c r="AF9" s="83">
        <f>P9*2+R9*2+T9*2+V9*2+N9</f>
        <v>0</v>
      </c>
      <c r="AG9" s="83">
        <f>Q9*2+S9*2+U9*2+W9*2+N9</f>
        <v>0</v>
      </c>
      <c r="AH9" s="96"/>
      <c r="AI9" s="96"/>
    </row>
    <row r="10" spans="2:39" ht="25.35" customHeight="1">
      <c r="B10" s="566"/>
      <c r="C10" s="43" t="s">
        <v>241</v>
      </c>
      <c r="D10" s="233"/>
      <c r="E10" s="234"/>
      <c r="F10" s="103"/>
      <c r="G10" s="104"/>
      <c r="H10" s="103"/>
      <c r="I10" s="104"/>
      <c r="J10" s="103"/>
      <c r="K10" s="104"/>
      <c r="L10" s="103"/>
      <c r="M10" s="104"/>
      <c r="N10" s="129"/>
      <c r="O10" s="130"/>
      <c r="P10" s="129"/>
      <c r="Q10" s="130"/>
      <c r="R10" s="129">
        <v>1</v>
      </c>
      <c r="S10" s="130">
        <v>1</v>
      </c>
      <c r="T10" s="129">
        <v>1</v>
      </c>
      <c r="U10" s="130">
        <v>1</v>
      </c>
      <c r="V10" s="129"/>
      <c r="W10" s="130"/>
      <c r="X10" s="155"/>
      <c r="Y10" s="156"/>
      <c r="Z10" s="155"/>
      <c r="AA10" s="156"/>
      <c r="AB10" s="155"/>
      <c r="AC10" s="156"/>
      <c r="AD10" s="155"/>
      <c r="AE10" s="156"/>
      <c r="AF10" s="79">
        <f>P10*2+R10*2+T10*2+V10*2+N10</f>
        <v>4</v>
      </c>
      <c r="AG10" s="79">
        <f>Q10*2+S10*2+U10*2+W10*2+O10</f>
        <v>4</v>
      </c>
      <c r="AH10" s="96"/>
      <c r="AI10" s="96"/>
    </row>
    <row r="11" spans="2:39" ht="25.35" customHeight="1">
      <c r="B11" s="566"/>
      <c r="C11" s="15" t="s">
        <v>183</v>
      </c>
      <c r="D11" s="109"/>
      <c r="E11" s="110"/>
      <c r="F11" s="109"/>
      <c r="G11" s="110"/>
      <c r="H11" s="109"/>
      <c r="I11" s="110"/>
      <c r="J11" s="109"/>
      <c r="K11" s="110"/>
      <c r="L11" s="109"/>
      <c r="M11" s="110"/>
      <c r="N11" s="135"/>
      <c r="O11" s="136"/>
      <c r="P11" s="135"/>
      <c r="Q11" s="136"/>
      <c r="R11" s="135"/>
      <c r="S11" s="136"/>
      <c r="T11" s="135"/>
      <c r="U11" s="136"/>
      <c r="V11" s="135"/>
      <c r="W11" s="136"/>
      <c r="X11" s="161">
        <v>1</v>
      </c>
      <c r="Y11" s="162">
        <v>1</v>
      </c>
      <c r="Z11" s="161">
        <v>1</v>
      </c>
      <c r="AA11" s="162">
        <v>1</v>
      </c>
      <c r="AB11" s="161">
        <v>1</v>
      </c>
      <c r="AC11" s="162">
        <v>1</v>
      </c>
      <c r="AD11" s="161">
        <v>1</v>
      </c>
      <c r="AE11" s="162">
        <v>1</v>
      </c>
      <c r="AF11" s="81">
        <f>X11*3+Z11*2+AB11*2+AD11*2</f>
        <v>9</v>
      </c>
      <c r="AG11" s="81">
        <f>Y11*3+AA11*2+AC11*2+AE11*2</f>
        <v>9</v>
      </c>
      <c r="AH11" s="99"/>
      <c r="AI11" s="96"/>
    </row>
    <row r="12" spans="2:39" ht="25.35" customHeight="1">
      <c r="B12" s="566"/>
      <c r="C12" s="217" t="s">
        <v>198</v>
      </c>
      <c r="D12" s="109"/>
      <c r="E12" s="110"/>
      <c r="F12" s="109"/>
      <c r="G12" s="110"/>
      <c r="H12" s="109"/>
      <c r="I12" s="110"/>
      <c r="J12" s="109"/>
      <c r="K12" s="110"/>
      <c r="L12" s="109"/>
      <c r="M12" s="110"/>
      <c r="N12" s="135"/>
      <c r="O12" s="136"/>
      <c r="P12" s="135"/>
      <c r="Q12" s="136"/>
      <c r="R12" s="135"/>
      <c r="S12" s="136"/>
      <c r="T12" s="135"/>
      <c r="U12" s="136">
        <v>2</v>
      </c>
      <c r="V12" s="135"/>
      <c r="W12" s="136"/>
      <c r="X12" s="161"/>
      <c r="Y12" s="162"/>
      <c r="Z12" s="161"/>
      <c r="AA12" s="162"/>
      <c r="AB12" s="161"/>
      <c r="AC12" s="162"/>
      <c r="AD12" s="161"/>
      <c r="AE12" s="162"/>
      <c r="AF12" s="81">
        <v>0</v>
      </c>
      <c r="AG12" s="81">
        <v>2</v>
      </c>
      <c r="AH12" s="99"/>
      <c r="AI12" s="96"/>
    </row>
    <row r="13" spans="2:39" ht="25.35" customHeight="1" thickBot="1">
      <c r="B13" s="567"/>
      <c r="C13" s="217" t="s">
        <v>317</v>
      </c>
      <c r="D13" s="109"/>
      <c r="E13" s="112"/>
      <c r="F13" s="111"/>
      <c r="G13" s="112"/>
      <c r="H13" s="111"/>
      <c r="I13" s="112"/>
      <c r="J13" s="111"/>
      <c r="K13" s="112"/>
      <c r="L13" s="111"/>
      <c r="M13" s="112"/>
      <c r="N13" s="137"/>
      <c r="O13" s="138"/>
      <c r="P13" s="137"/>
      <c r="Q13" s="138"/>
      <c r="R13" s="137"/>
      <c r="S13" s="138">
        <v>2</v>
      </c>
      <c r="T13" s="137"/>
      <c r="U13" s="138"/>
      <c r="V13" s="137"/>
      <c r="W13" s="138">
        <v>2</v>
      </c>
      <c r="X13" s="163"/>
      <c r="Y13" s="164"/>
      <c r="Z13" s="163"/>
      <c r="AA13" s="164"/>
      <c r="AB13" s="163"/>
      <c r="AC13" s="164"/>
      <c r="AD13" s="163"/>
      <c r="AE13" s="164"/>
      <c r="AF13" s="80">
        <v>0</v>
      </c>
      <c r="AG13" s="80">
        <v>2</v>
      </c>
      <c r="AH13" s="72"/>
      <c r="AI13" s="20"/>
      <c r="AL13" s="6" t="s">
        <v>443</v>
      </c>
      <c r="AM13" s="6" t="s">
        <v>444</v>
      </c>
    </row>
    <row r="14" spans="2:39" ht="25.35" customHeight="1" thickTop="1">
      <c r="B14" s="550" t="s">
        <v>4</v>
      </c>
      <c r="C14" s="59" t="s">
        <v>62</v>
      </c>
      <c r="D14" s="101">
        <v>2</v>
      </c>
      <c r="E14" s="102">
        <v>2</v>
      </c>
      <c r="F14" s="101">
        <v>2</v>
      </c>
      <c r="G14" s="102">
        <v>2</v>
      </c>
      <c r="H14" s="101">
        <v>2</v>
      </c>
      <c r="I14" s="102">
        <v>2</v>
      </c>
      <c r="J14" s="101">
        <v>2</v>
      </c>
      <c r="K14" s="102">
        <v>2</v>
      </c>
      <c r="L14" s="101">
        <v>2</v>
      </c>
      <c r="M14" s="102">
        <v>2</v>
      </c>
      <c r="N14" s="128">
        <v>2</v>
      </c>
      <c r="O14" s="139">
        <v>2</v>
      </c>
      <c r="P14" s="128">
        <v>2</v>
      </c>
      <c r="Q14" s="139">
        <v>2</v>
      </c>
      <c r="R14" s="128">
        <v>2</v>
      </c>
      <c r="S14" s="139">
        <v>2</v>
      </c>
      <c r="T14" s="128">
        <v>2</v>
      </c>
      <c r="U14" s="139">
        <v>2</v>
      </c>
      <c r="V14" s="128">
        <v>2</v>
      </c>
      <c r="W14" s="139">
        <v>2</v>
      </c>
      <c r="X14" s="155">
        <v>2</v>
      </c>
      <c r="Y14" s="156">
        <v>2</v>
      </c>
      <c r="Z14" s="155">
        <v>2</v>
      </c>
      <c r="AA14" s="156">
        <v>2</v>
      </c>
      <c r="AB14" s="155">
        <v>2</v>
      </c>
      <c r="AC14" s="156">
        <v>2</v>
      </c>
      <c r="AD14" s="155">
        <v>2</v>
      </c>
      <c r="AE14" s="156">
        <v>2</v>
      </c>
      <c r="AF14" s="75">
        <f>F14*2+H14*2+J14*2+L14*2+P14*2+R14*2+T14*2+V14*2+X14*3+Z14*2+AB14*2+AD14*2+D14+N14</f>
        <v>54</v>
      </c>
      <c r="AG14" s="75">
        <f>G14*2+I14*2+K14*2+M14*2+Q14*2+S14*2+U14*2+W14*2+Y14*3+AA14*2+AC14*2+AE14*2+E14+O14</f>
        <v>54</v>
      </c>
      <c r="AH14" s="5">
        <f>SUM(AF14:AF36)-2</f>
        <v>137</v>
      </c>
      <c r="AI14" s="5">
        <f>SUM(AG14:AG36)</f>
        <v>127</v>
      </c>
      <c r="AK14" s="484" t="s">
        <v>450</v>
      </c>
      <c r="AL14" s="1">
        <f>AF14+AF15+AF22+AF25</f>
        <v>89</v>
      </c>
      <c r="AM14" s="1">
        <v>89</v>
      </c>
    </row>
    <row r="15" spans="2:39" ht="25.35" customHeight="1">
      <c r="B15" s="551"/>
      <c r="C15" s="43" t="s">
        <v>68</v>
      </c>
      <c r="D15" s="103">
        <v>1</v>
      </c>
      <c r="E15" s="104">
        <v>1</v>
      </c>
      <c r="F15" s="103">
        <v>1</v>
      </c>
      <c r="G15" s="104">
        <v>1</v>
      </c>
      <c r="H15" s="103">
        <v>1</v>
      </c>
      <c r="I15" s="104">
        <v>1</v>
      </c>
      <c r="J15" s="103">
        <v>1</v>
      </c>
      <c r="K15" s="104">
        <v>1</v>
      </c>
      <c r="L15" s="103"/>
      <c r="M15" s="104"/>
      <c r="N15" s="129"/>
      <c r="O15" s="130"/>
      <c r="P15" s="129"/>
      <c r="Q15" s="130"/>
      <c r="R15" s="129"/>
      <c r="S15" s="130"/>
      <c r="T15" s="129"/>
      <c r="U15" s="130"/>
      <c r="V15" s="129"/>
      <c r="W15" s="130"/>
      <c r="X15" s="155"/>
      <c r="Y15" s="156"/>
      <c r="Z15" s="155"/>
      <c r="AA15" s="156"/>
      <c r="AB15" s="155"/>
      <c r="AC15" s="156"/>
      <c r="AD15" s="155"/>
      <c r="AE15" s="156"/>
      <c r="AF15" s="79">
        <f>F15*2+H15*2+J15*2+D15</f>
        <v>7</v>
      </c>
      <c r="AG15" s="79">
        <f>G15*2+I15*2+K15*2+E15</f>
        <v>7</v>
      </c>
      <c r="AH15" s="96"/>
      <c r="AI15" s="8"/>
      <c r="AK15" s="224" t="s">
        <v>451</v>
      </c>
      <c r="AL15" s="1">
        <f>AH14-AL14</f>
        <v>48</v>
      </c>
      <c r="AM15" s="1">
        <f>AI14-AM14</f>
        <v>38</v>
      </c>
    </row>
    <row r="16" spans="2:39" ht="25.35" customHeight="1">
      <c r="B16" s="551"/>
      <c r="C16" s="462" t="s">
        <v>59</v>
      </c>
      <c r="D16" s="463"/>
      <c r="E16" s="464"/>
      <c r="F16" s="127"/>
      <c r="G16" s="188"/>
      <c r="H16" s="127"/>
      <c r="I16" s="188"/>
      <c r="J16" s="127"/>
      <c r="K16" s="188"/>
      <c r="L16" s="127">
        <v>2</v>
      </c>
      <c r="M16" s="188">
        <v>2</v>
      </c>
      <c r="N16" s="465"/>
      <c r="O16" s="466"/>
      <c r="P16" s="465"/>
      <c r="Q16" s="466"/>
      <c r="R16" s="465"/>
      <c r="S16" s="466"/>
      <c r="T16" s="465"/>
      <c r="U16" s="466"/>
      <c r="V16" s="465"/>
      <c r="W16" s="466"/>
      <c r="X16" s="467"/>
      <c r="Y16" s="468"/>
      <c r="Z16" s="467"/>
      <c r="AA16" s="468"/>
      <c r="AB16" s="467"/>
      <c r="AC16" s="468"/>
      <c r="AD16" s="467"/>
      <c r="AE16" s="468"/>
      <c r="AF16" s="469">
        <f t="shared" ref="AF16:AG21" si="0">F16*3+H16*2+J16*2+L16*2+P16*3+R16*2+T16*2+V16*2+X16*3+Z16*2+AB16*2+AD16*2</f>
        <v>4</v>
      </c>
      <c r="AG16" s="469">
        <f t="shared" si="0"/>
        <v>4</v>
      </c>
      <c r="AH16" s="96"/>
      <c r="AI16" s="8"/>
      <c r="AK16" s="224"/>
    </row>
    <row r="17" spans="2:37" ht="25.35" customHeight="1">
      <c r="B17" s="551"/>
      <c r="C17" s="462" t="s">
        <v>60</v>
      </c>
      <c r="D17" s="463"/>
      <c r="E17" s="464"/>
      <c r="F17" s="127"/>
      <c r="G17" s="188"/>
      <c r="H17" s="127"/>
      <c r="I17" s="188"/>
      <c r="J17" s="127"/>
      <c r="K17" s="188"/>
      <c r="L17" s="127">
        <v>2</v>
      </c>
      <c r="M17" s="188">
        <v>2</v>
      </c>
      <c r="N17" s="465"/>
      <c r="O17" s="466"/>
      <c r="P17" s="465"/>
      <c r="Q17" s="466"/>
      <c r="R17" s="465"/>
      <c r="S17" s="466"/>
      <c r="T17" s="465"/>
      <c r="U17" s="466"/>
      <c r="V17" s="465"/>
      <c r="W17" s="466"/>
      <c r="X17" s="467"/>
      <c r="Y17" s="468"/>
      <c r="Z17" s="467"/>
      <c r="AA17" s="468"/>
      <c r="AB17" s="467"/>
      <c r="AC17" s="468"/>
      <c r="AD17" s="467"/>
      <c r="AE17" s="468"/>
      <c r="AF17" s="469">
        <f t="shared" si="0"/>
        <v>4</v>
      </c>
      <c r="AG17" s="469">
        <f t="shared" si="0"/>
        <v>4</v>
      </c>
      <c r="AH17" s="96"/>
      <c r="AI17" s="8"/>
      <c r="AK17" s="224"/>
    </row>
    <row r="18" spans="2:37" ht="25.35" customHeight="1">
      <c r="B18" s="551"/>
      <c r="C18" s="462" t="s">
        <v>80</v>
      </c>
      <c r="D18" s="463"/>
      <c r="E18" s="464"/>
      <c r="F18" s="127"/>
      <c r="G18" s="188"/>
      <c r="H18" s="127"/>
      <c r="I18" s="188"/>
      <c r="J18" s="127"/>
      <c r="K18" s="188"/>
      <c r="L18" s="127"/>
      <c r="M18" s="188"/>
      <c r="N18" s="465"/>
      <c r="O18" s="466"/>
      <c r="P18" s="465"/>
      <c r="Q18" s="466"/>
      <c r="R18" s="465"/>
      <c r="S18" s="466"/>
      <c r="T18" s="465"/>
      <c r="U18" s="466"/>
      <c r="V18" s="465">
        <v>2</v>
      </c>
      <c r="W18" s="466">
        <v>2</v>
      </c>
      <c r="X18" s="467"/>
      <c r="Y18" s="468"/>
      <c r="Z18" s="467"/>
      <c r="AA18" s="468"/>
      <c r="AB18" s="467"/>
      <c r="AC18" s="468"/>
      <c r="AD18" s="467"/>
      <c r="AE18" s="468"/>
      <c r="AF18" s="469">
        <f t="shared" si="0"/>
        <v>4</v>
      </c>
      <c r="AG18" s="469">
        <f t="shared" si="0"/>
        <v>4</v>
      </c>
      <c r="AH18" s="96"/>
      <c r="AI18" s="8"/>
    </row>
    <row r="19" spans="2:37" ht="25.35" customHeight="1">
      <c r="B19" s="551"/>
      <c r="C19" s="462" t="s">
        <v>81</v>
      </c>
      <c r="D19" s="463"/>
      <c r="E19" s="464"/>
      <c r="F19" s="127"/>
      <c r="G19" s="188"/>
      <c r="H19" s="127"/>
      <c r="I19" s="188"/>
      <c r="J19" s="127"/>
      <c r="K19" s="188"/>
      <c r="L19" s="127"/>
      <c r="M19" s="188"/>
      <c r="N19" s="465"/>
      <c r="O19" s="466"/>
      <c r="P19" s="465"/>
      <c r="Q19" s="466"/>
      <c r="R19" s="465"/>
      <c r="S19" s="466"/>
      <c r="T19" s="465"/>
      <c r="U19" s="466"/>
      <c r="V19" s="465">
        <v>2</v>
      </c>
      <c r="W19" s="466">
        <v>2</v>
      </c>
      <c r="X19" s="467"/>
      <c r="Y19" s="468"/>
      <c r="Z19" s="467"/>
      <c r="AA19" s="468"/>
      <c r="AB19" s="467"/>
      <c r="AC19" s="468"/>
      <c r="AD19" s="467"/>
      <c r="AE19" s="468"/>
      <c r="AF19" s="469">
        <f t="shared" si="0"/>
        <v>4</v>
      </c>
      <c r="AG19" s="469">
        <f t="shared" si="0"/>
        <v>4</v>
      </c>
      <c r="AH19" s="96"/>
      <c r="AI19" s="8"/>
    </row>
    <row r="20" spans="2:37" ht="25.35" customHeight="1">
      <c r="B20" s="551"/>
      <c r="C20" s="462" t="s">
        <v>97</v>
      </c>
      <c r="D20" s="463"/>
      <c r="E20" s="464"/>
      <c r="F20" s="127"/>
      <c r="G20" s="188"/>
      <c r="H20" s="127"/>
      <c r="I20" s="188"/>
      <c r="J20" s="127"/>
      <c r="K20" s="188"/>
      <c r="L20" s="127"/>
      <c r="M20" s="188"/>
      <c r="N20" s="465"/>
      <c r="O20" s="466"/>
      <c r="P20" s="465"/>
      <c r="Q20" s="466"/>
      <c r="R20" s="465"/>
      <c r="S20" s="466"/>
      <c r="T20" s="465"/>
      <c r="U20" s="466"/>
      <c r="V20" s="465"/>
      <c r="W20" s="466"/>
      <c r="X20" s="467"/>
      <c r="Y20" s="468"/>
      <c r="Z20" s="467"/>
      <c r="AA20" s="468"/>
      <c r="AB20" s="467"/>
      <c r="AC20" s="468"/>
      <c r="AD20" s="467">
        <v>2</v>
      </c>
      <c r="AE20" s="468">
        <v>2</v>
      </c>
      <c r="AF20" s="469">
        <f t="shared" si="0"/>
        <v>4</v>
      </c>
      <c r="AG20" s="469">
        <f t="shared" si="0"/>
        <v>4</v>
      </c>
      <c r="AH20" s="96"/>
      <c r="AI20" s="8"/>
    </row>
    <row r="21" spans="2:37" ht="25.35" customHeight="1">
      <c r="B21" s="551"/>
      <c r="C21" s="462" t="s">
        <v>98</v>
      </c>
      <c r="D21" s="463"/>
      <c r="E21" s="464"/>
      <c r="F21" s="127"/>
      <c r="G21" s="188"/>
      <c r="H21" s="127"/>
      <c r="I21" s="188"/>
      <c r="J21" s="127"/>
      <c r="K21" s="188"/>
      <c r="L21" s="127"/>
      <c r="M21" s="188"/>
      <c r="N21" s="465"/>
      <c r="O21" s="466"/>
      <c r="P21" s="465"/>
      <c r="Q21" s="466"/>
      <c r="R21" s="465"/>
      <c r="S21" s="466"/>
      <c r="T21" s="465"/>
      <c r="U21" s="466"/>
      <c r="V21" s="465"/>
      <c r="W21" s="466"/>
      <c r="X21" s="467"/>
      <c r="Y21" s="468"/>
      <c r="Z21" s="467"/>
      <c r="AA21" s="468"/>
      <c r="AB21" s="467"/>
      <c r="AC21" s="468"/>
      <c r="AD21" s="467">
        <v>2</v>
      </c>
      <c r="AE21" s="468">
        <v>2</v>
      </c>
      <c r="AF21" s="469">
        <f t="shared" si="0"/>
        <v>4</v>
      </c>
      <c r="AG21" s="469">
        <f t="shared" si="0"/>
        <v>4</v>
      </c>
      <c r="AH21" s="96"/>
      <c r="AI21" s="8"/>
    </row>
    <row r="22" spans="2:37" ht="25.35" customHeight="1">
      <c r="B22" s="551"/>
      <c r="C22" s="15" t="s">
        <v>14</v>
      </c>
      <c r="D22" s="233"/>
      <c r="E22" s="234"/>
      <c r="F22" s="103"/>
      <c r="G22" s="104"/>
      <c r="H22" s="103"/>
      <c r="I22" s="104"/>
      <c r="J22" s="103"/>
      <c r="K22" s="104"/>
      <c r="L22" s="103"/>
      <c r="M22" s="104"/>
      <c r="N22" s="129">
        <v>2</v>
      </c>
      <c r="O22" s="130">
        <v>2</v>
      </c>
      <c r="P22" s="129">
        <v>2</v>
      </c>
      <c r="Q22" s="130">
        <v>2</v>
      </c>
      <c r="R22" s="129">
        <v>2</v>
      </c>
      <c r="S22" s="130">
        <v>2</v>
      </c>
      <c r="T22" s="129">
        <v>2</v>
      </c>
      <c r="U22" s="130">
        <v>2</v>
      </c>
      <c r="V22" s="129"/>
      <c r="W22" s="130"/>
      <c r="X22" s="155"/>
      <c r="Y22" s="156"/>
      <c r="Z22" s="155"/>
      <c r="AA22" s="156"/>
      <c r="AB22" s="155"/>
      <c r="AC22" s="156"/>
      <c r="AD22" s="155"/>
      <c r="AE22" s="156"/>
      <c r="AF22" s="79">
        <f>P22*2+R22*2+T22*2+N22</f>
        <v>14</v>
      </c>
      <c r="AG22" s="79">
        <f>Q22*2+S22*2+U22*2+O22</f>
        <v>14</v>
      </c>
      <c r="AH22" s="96"/>
      <c r="AI22" s="8"/>
    </row>
    <row r="23" spans="2:37" ht="25.35" customHeight="1">
      <c r="B23" s="551"/>
      <c r="C23" s="462" t="s">
        <v>439</v>
      </c>
      <c r="D23" s="463"/>
      <c r="E23" s="464"/>
      <c r="F23" s="127"/>
      <c r="G23" s="188"/>
      <c r="H23" s="127"/>
      <c r="I23" s="188"/>
      <c r="J23" s="127"/>
      <c r="K23" s="188"/>
      <c r="L23" s="127"/>
      <c r="M23" s="188"/>
      <c r="N23" s="465"/>
      <c r="O23" s="466"/>
      <c r="P23" s="465"/>
      <c r="Q23" s="466"/>
      <c r="R23" s="465"/>
      <c r="S23" s="466"/>
      <c r="T23" s="465"/>
      <c r="U23" s="466"/>
      <c r="V23" s="465"/>
      <c r="W23" s="466"/>
      <c r="X23" s="467"/>
      <c r="Y23" s="468"/>
      <c r="Z23" s="467"/>
      <c r="AA23" s="468"/>
      <c r="AB23" s="467"/>
      <c r="AC23" s="468"/>
      <c r="AD23" s="467">
        <v>2</v>
      </c>
      <c r="AE23" s="468"/>
      <c r="AF23" s="469">
        <f>F23*3+H23*2+J23*2+L23*2+P23*3+R23*2+T23*2+V23*2+X23*3+Z23*2+AB23*2+AD23*2</f>
        <v>4</v>
      </c>
      <c r="AG23" s="469">
        <f>G23*3+I23*2+K23*2+M23*2+Q23*3+S23*2+U23*2+W23*2+Y23*3+AA23*2+AC23*2+AE23*2</f>
        <v>0</v>
      </c>
      <c r="AH23" s="96"/>
      <c r="AI23" s="8"/>
    </row>
    <row r="24" spans="2:37" ht="25.35" customHeight="1">
      <c r="B24" s="551"/>
      <c r="C24" s="462" t="s">
        <v>84</v>
      </c>
      <c r="D24" s="463"/>
      <c r="E24" s="464"/>
      <c r="F24" s="127"/>
      <c r="G24" s="188"/>
      <c r="H24" s="127"/>
      <c r="I24" s="188"/>
      <c r="J24" s="127"/>
      <c r="K24" s="188"/>
      <c r="L24" s="127"/>
      <c r="M24" s="188"/>
      <c r="N24" s="465"/>
      <c r="O24" s="466"/>
      <c r="P24" s="465"/>
      <c r="Q24" s="466"/>
      <c r="R24" s="465"/>
      <c r="S24" s="466"/>
      <c r="T24" s="465"/>
      <c r="U24" s="466"/>
      <c r="V24" s="465">
        <v>1</v>
      </c>
      <c r="W24" s="466"/>
      <c r="X24" s="467"/>
      <c r="Y24" s="468"/>
      <c r="Z24" s="467"/>
      <c r="AA24" s="468"/>
      <c r="AB24" s="467"/>
      <c r="AC24" s="468"/>
      <c r="AD24" s="467"/>
      <c r="AE24" s="468"/>
      <c r="AF24" s="469">
        <f>F24*3+H24*2+J24*2+L24*2+P24*3+R24*2+T24*2+V24*2+X24*3+Z24*2+AB24*2+AD24*2</f>
        <v>2</v>
      </c>
      <c r="AG24" s="469">
        <f>G24*3+I24*2+K24*2+M24*2+Q24*3+S24*2+U24*2+W24*2+Y24*3+AA24*2+AC24*2+AE24*2</f>
        <v>0</v>
      </c>
      <c r="AH24" s="96"/>
      <c r="AI24" s="8"/>
    </row>
    <row r="25" spans="2:37" ht="25.35" customHeight="1">
      <c r="B25" s="551"/>
      <c r="C25" s="15" t="s">
        <v>15</v>
      </c>
      <c r="D25" s="233"/>
      <c r="E25" s="234"/>
      <c r="F25" s="103"/>
      <c r="G25" s="104"/>
      <c r="H25" s="103"/>
      <c r="I25" s="104"/>
      <c r="J25" s="103"/>
      <c r="K25" s="104"/>
      <c r="L25" s="103"/>
      <c r="M25" s="104"/>
      <c r="N25" s="129"/>
      <c r="O25" s="130"/>
      <c r="P25" s="129"/>
      <c r="Q25" s="130"/>
      <c r="R25" s="129"/>
      <c r="S25" s="130"/>
      <c r="T25" s="129"/>
      <c r="U25" s="130"/>
      <c r="V25" s="129"/>
      <c r="W25" s="130"/>
      <c r="X25" s="155">
        <v>2</v>
      </c>
      <c r="Y25" s="156">
        <v>2</v>
      </c>
      <c r="Z25" s="155">
        <v>2</v>
      </c>
      <c r="AA25" s="156">
        <v>2</v>
      </c>
      <c r="AB25" s="155">
        <v>2</v>
      </c>
      <c r="AC25" s="156">
        <v>2</v>
      </c>
      <c r="AD25" s="155"/>
      <c r="AE25" s="156"/>
      <c r="AF25" s="79">
        <f>X25*3+Z25*2+AB25*2</f>
        <v>14</v>
      </c>
      <c r="AG25" s="79">
        <f>Y25*3+AA25*2+AC25*2</f>
        <v>14</v>
      </c>
      <c r="AH25" s="96"/>
      <c r="AI25" s="8"/>
    </row>
    <row r="26" spans="2:37" ht="25.35" customHeight="1">
      <c r="B26" s="551"/>
      <c r="C26" s="462" t="s">
        <v>49</v>
      </c>
      <c r="D26" s="463"/>
      <c r="E26" s="464"/>
      <c r="F26" s="127"/>
      <c r="G26" s="188"/>
      <c r="H26" s="127"/>
      <c r="I26" s="188"/>
      <c r="J26" s="127"/>
      <c r="K26" s="188"/>
      <c r="L26" s="127"/>
      <c r="M26" s="188"/>
      <c r="N26" s="465"/>
      <c r="O26" s="466"/>
      <c r="P26" s="465"/>
      <c r="Q26" s="466"/>
      <c r="R26" s="465"/>
      <c r="S26" s="466"/>
      <c r="T26" s="465"/>
      <c r="U26" s="466"/>
      <c r="V26" s="465">
        <v>1</v>
      </c>
      <c r="W26" s="466"/>
      <c r="X26" s="467"/>
      <c r="Y26" s="468"/>
      <c r="Z26" s="467"/>
      <c r="AA26" s="468"/>
      <c r="AB26" s="467"/>
      <c r="AC26" s="468"/>
      <c r="AD26" s="467"/>
      <c r="AE26" s="468"/>
      <c r="AF26" s="469">
        <f>V26*2</f>
        <v>2</v>
      </c>
      <c r="AG26" s="469">
        <v>0</v>
      </c>
      <c r="AH26" s="96"/>
      <c r="AI26" s="8"/>
    </row>
    <row r="27" spans="2:37" ht="25.35" customHeight="1">
      <c r="B27" s="551"/>
      <c r="C27" s="462" t="s">
        <v>440</v>
      </c>
      <c r="D27" s="463"/>
      <c r="E27" s="464"/>
      <c r="F27" s="127"/>
      <c r="G27" s="188"/>
      <c r="H27" s="127"/>
      <c r="I27" s="188"/>
      <c r="J27" s="127"/>
      <c r="K27" s="188"/>
      <c r="L27" s="127"/>
      <c r="M27" s="188"/>
      <c r="N27" s="465"/>
      <c r="O27" s="466"/>
      <c r="P27" s="465"/>
      <c r="Q27" s="466"/>
      <c r="R27" s="465"/>
      <c r="S27" s="466"/>
      <c r="T27" s="465"/>
      <c r="U27" s="466"/>
      <c r="V27" s="465"/>
      <c r="W27" s="466">
        <v>2</v>
      </c>
      <c r="X27" s="467"/>
      <c r="Y27" s="468"/>
      <c r="Z27" s="467"/>
      <c r="AA27" s="468"/>
      <c r="AB27" s="467"/>
      <c r="AC27" s="468"/>
      <c r="AD27" s="467">
        <v>2</v>
      </c>
      <c r="AE27" s="468"/>
      <c r="AF27" s="469">
        <f>AD27*2</f>
        <v>4</v>
      </c>
      <c r="AG27" s="469">
        <f>AE27*2+W27*2</f>
        <v>4</v>
      </c>
      <c r="AH27" s="96"/>
      <c r="AI27" s="8"/>
    </row>
    <row r="28" spans="2:37" ht="25.35" customHeight="1">
      <c r="B28" s="551"/>
      <c r="C28" s="462" t="s">
        <v>441</v>
      </c>
      <c r="D28" s="463"/>
      <c r="E28" s="464"/>
      <c r="F28" s="127"/>
      <c r="G28" s="188"/>
      <c r="H28" s="127"/>
      <c r="I28" s="188"/>
      <c r="J28" s="127"/>
      <c r="K28" s="188"/>
      <c r="L28" s="127"/>
      <c r="M28" s="188"/>
      <c r="N28" s="465"/>
      <c r="O28" s="466"/>
      <c r="P28" s="465"/>
      <c r="Q28" s="466"/>
      <c r="R28" s="465"/>
      <c r="S28" s="466"/>
      <c r="T28" s="465"/>
      <c r="U28" s="466"/>
      <c r="V28" s="465">
        <v>2</v>
      </c>
      <c r="W28" s="466">
        <v>2</v>
      </c>
      <c r="X28" s="467"/>
      <c r="Y28" s="468"/>
      <c r="Z28" s="467"/>
      <c r="AA28" s="468"/>
      <c r="AB28" s="467"/>
      <c r="AC28" s="468"/>
      <c r="AD28" s="467"/>
      <c r="AE28" s="468"/>
      <c r="AF28" s="469">
        <f>V28*2</f>
        <v>4</v>
      </c>
      <c r="AG28" s="469">
        <f>W28*2</f>
        <v>4</v>
      </c>
      <c r="AH28" s="96"/>
      <c r="AI28" s="8"/>
    </row>
    <row r="29" spans="2:37" ht="25.35" customHeight="1">
      <c r="B29" s="551"/>
      <c r="C29" s="462" t="s">
        <v>442</v>
      </c>
      <c r="D29" s="463"/>
      <c r="E29" s="464"/>
      <c r="F29" s="127"/>
      <c r="G29" s="188"/>
      <c r="H29" s="127"/>
      <c r="I29" s="188"/>
      <c r="J29" s="127"/>
      <c r="K29" s="188"/>
      <c r="L29" s="127"/>
      <c r="M29" s="188"/>
      <c r="N29" s="465"/>
      <c r="O29" s="466"/>
      <c r="P29" s="465"/>
      <c r="Q29" s="466"/>
      <c r="R29" s="465"/>
      <c r="S29" s="466">
        <v>2</v>
      </c>
      <c r="T29" s="465"/>
      <c r="U29" s="466"/>
      <c r="V29" s="465"/>
      <c r="W29" s="466">
        <v>2</v>
      </c>
      <c r="X29" s="467"/>
      <c r="Y29" s="468"/>
      <c r="Z29" s="467"/>
      <c r="AA29" s="468"/>
      <c r="AB29" s="467"/>
      <c r="AC29" s="468"/>
      <c r="AD29" s="467"/>
      <c r="AE29" s="468"/>
      <c r="AF29" s="469">
        <f>F29*3+H29*2+J29*2+L29*2+P29*3+R29*2+T29*2+V29*2+X29*3+Z29*2+AB29*2+AD29*2</f>
        <v>0</v>
      </c>
      <c r="AG29" s="469">
        <v>2</v>
      </c>
      <c r="AH29" s="96"/>
      <c r="AI29" s="8"/>
    </row>
    <row r="30" spans="2:37" ht="25.35" customHeight="1">
      <c r="B30" s="551"/>
      <c r="C30" s="470" t="s">
        <v>222</v>
      </c>
      <c r="D30" s="471"/>
      <c r="E30" s="472"/>
      <c r="F30" s="127"/>
      <c r="G30" s="188"/>
      <c r="H30" s="127"/>
      <c r="I30" s="188"/>
      <c r="J30" s="127"/>
      <c r="K30" s="188"/>
      <c r="L30" s="127"/>
      <c r="M30" s="188"/>
      <c r="N30" s="465"/>
      <c r="O30" s="466"/>
      <c r="P30" s="466">
        <v>2</v>
      </c>
      <c r="Q30" s="466"/>
      <c r="R30" s="466">
        <v>2</v>
      </c>
      <c r="S30" s="466"/>
      <c r="T30" s="466">
        <v>2</v>
      </c>
      <c r="U30" s="466"/>
      <c r="V30" s="466">
        <v>2</v>
      </c>
      <c r="W30" s="466"/>
      <c r="X30" s="467"/>
      <c r="Y30" s="468"/>
      <c r="Z30" s="467"/>
      <c r="AA30" s="468"/>
      <c r="AB30" s="467"/>
      <c r="AC30" s="468"/>
      <c r="AD30" s="467"/>
      <c r="AE30" s="468"/>
      <c r="AF30" s="469">
        <v>2</v>
      </c>
      <c r="AG30" s="469">
        <v>0</v>
      </c>
      <c r="AH30" s="96"/>
      <c r="AI30" s="8"/>
    </row>
    <row r="31" spans="2:37" ht="25.35" customHeight="1">
      <c r="B31" s="551"/>
      <c r="C31" s="470" t="s">
        <v>221</v>
      </c>
      <c r="D31" s="471"/>
      <c r="E31" s="472"/>
      <c r="F31" s="127"/>
      <c r="G31" s="188"/>
      <c r="H31" s="127"/>
      <c r="I31" s="188"/>
      <c r="J31" s="127"/>
      <c r="K31" s="188"/>
      <c r="L31" s="127"/>
      <c r="M31" s="188"/>
      <c r="N31" s="465"/>
      <c r="O31" s="466"/>
      <c r="P31" s="466">
        <v>2</v>
      </c>
      <c r="Q31" s="466"/>
      <c r="R31" s="466">
        <v>2</v>
      </c>
      <c r="S31" s="466"/>
      <c r="T31" s="466">
        <v>2</v>
      </c>
      <c r="U31" s="466"/>
      <c r="V31" s="466">
        <v>2</v>
      </c>
      <c r="W31" s="466"/>
      <c r="X31" s="467"/>
      <c r="Y31" s="468"/>
      <c r="Z31" s="467"/>
      <c r="AA31" s="468"/>
      <c r="AB31" s="467"/>
      <c r="AC31" s="468"/>
      <c r="AD31" s="467"/>
      <c r="AE31" s="468"/>
      <c r="AF31" s="469">
        <v>2</v>
      </c>
      <c r="AG31" s="469">
        <v>0</v>
      </c>
      <c r="AH31" s="96"/>
      <c r="AI31" s="8"/>
    </row>
    <row r="32" spans="2:37" ht="25.35" customHeight="1">
      <c r="B32" s="551"/>
      <c r="C32" s="470" t="s">
        <v>202</v>
      </c>
      <c r="D32" s="471"/>
      <c r="E32" s="472"/>
      <c r="F32" s="127"/>
      <c r="G32" s="188"/>
      <c r="H32" s="127"/>
      <c r="I32" s="188"/>
      <c r="J32" s="127"/>
      <c r="K32" s="188"/>
      <c r="L32" s="127"/>
      <c r="M32" s="188"/>
      <c r="N32" s="465"/>
      <c r="O32" s="466"/>
      <c r="P32" s="465"/>
      <c r="Q32" s="466"/>
      <c r="R32" s="465"/>
      <c r="S32" s="466"/>
      <c r="T32" s="465"/>
      <c r="U32" s="466"/>
      <c r="V32" s="465">
        <v>2</v>
      </c>
      <c r="W32" s="466"/>
      <c r="X32" s="467"/>
      <c r="Y32" s="468"/>
      <c r="Z32" s="467"/>
      <c r="AA32" s="468"/>
      <c r="AB32" s="467"/>
      <c r="AC32" s="468"/>
      <c r="AD32" s="467"/>
      <c r="AE32" s="468"/>
      <c r="AF32" s="469">
        <v>2</v>
      </c>
      <c r="AG32" s="469">
        <f>G32*3+I32*2+K32*2+M32*2+Q32*3+S32*2+U32*2+W32*2+Y32*3+AA32*2+AC32*2+AE32*2</f>
        <v>0</v>
      </c>
      <c r="AH32" s="96"/>
      <c r="AI32" s="8"/>
    </row>
    <row r="33" spans="1:37" ht="25.35" customHeight="1">
      <c r="B33" s="551"/>
      <c r="C33" s="470" t="s">
        <v>203</v>
      </c>
      <c r="D33" s="471"/>
      <c r="E33" s="472"/>
      <c r="F33" s="127"/>
      <c r="G33" s="188"/>
      <c r="H33" s="127"/>
      <c r="I33" s="188"/>
      <c r="J33" s="127"/>
      <c r="K33" s="188"/>
      <c r="L33" s="127"/>
      <c r="M33" s="188"/>
      <c r="N33" s="465"/>
      <c r="O33" s="466"/>
      <c r="P33" s="465"/>
      <c r="Q33" s="466"/>
      <c r="R33" s="465"/>
      <c r="S33" s="466"/>
      <c r="T33" s="465"/>
      <c r="U33" s="466"/>
      <c r="V33" s="465">
        <v>2</v>
      </c>
      <c r="W33" s="466"/>
      <c r="X33" s="467"/>
      <c r="Y33" s="468"/>
      <c r="Z33" s="467"/>
      <c r="AA33" s="468"/>
      <c r="AB33" s="467"/>
      <c r="AC33" s="468"/>
      <c r="AD33" s="467"/>
      <c r="AE33" s="468"/>
      <c r="AF33" s="469">
        <v>2</v>
      </c>
      <c r="AG33" s="469">
        <v>0</v>
      </c>
      <c r="AH33" s="96"/>
      <c r="AI33" s="8"/>
    </row>
    <row r="34" spans="1:37" s="182" customFormat="1" ht="25.35" customHeight="1" thickBot="1">
      <c r="A34" s="100"/>
      <c r="B34" s="551"/>
      <c r="C34" s="470" t="s">
        <v>204</v>
      </c>
      <c r="D34" s="471"/>
      <c r="E34" s="472"/>
      <c r="F34" s="127"/>
      <c r="G34" s="188"/>
      <c r="H34" s="127"/>
      <c r="I34" s="188"/>
      <c r="J34" s="127"/>
      <c r="K34" s="188"/>
      <c r="L34" s="127"/>
      <c r="M34" s="188"/>
      <c r="N34" s="465"/>
      <c r="O34" s="466"/>
      <c r="P34" s="465"/>
      <c r="Q34" s="466"/>
      <c r="R34" s="465"/>
      <c r="S34" s="466"/>
      <c r="T34" s="465"/>
      <c r="U34" s="466"/>
      <c r="V34" s="465">
        <v>2</v>
      </c>
      <c r="W34" s="466"/>
      <c r="X34" s="467"/>
      <c r="Y34" s="468"/>
      <c r="Z34" s="467"/>
      <c r="AA34" s="468"/>
      <c r="AB34" s="467"/>
      <c r="AC34" s="468"/>
      <c r="AD34" s="467"/>
      <c r="AE34" s="468"/>
      <c r="AF34" s="469">
        <v>2</v>
      </c>
      <c r="AG34" s="469">
        <v>0</v>
      </c>
      <c r="AH34" s="96"/>
      <c r="AI34" s="96"/>
      <c r="AJ34" s="1"/>
      <c r="AK34" s="2"/>
    </row>
    <row r="35" spans="1:37" ht="25.35" customHeight="1" thickTop="1">
      <c r="B35" s="552"/>
      <c r="C35" s="470" t="s">
        <v>137</v>
      </c>
      <c r="D35" s="473"/>
      <c r="E35" s="474"/>
      <c r="F35" s="123"/>
      <c r="G35" s="124"/>
      <c r="H35" s="123"/>
      <c r="I35" s="124"/>
      <c r="J35" s="123"/>
      <c r="K35" s="124"/>
      <c r="L35" s="123"/>
      <c r="M35" s="124"/>
      <c r="N35" s="475"/>
      <c r="O35" s="476"/>
      <c r="P35" s="475"/>
      <c r="Q35" s="476"/>
      <c r="R35" s="475"/>
      <c r="S35" s="476"/>
      <c r="T35" s="475"/>
      <c r="U35" s="476"/>
      <c r="V35" s="475"/>
      <c r="W35" s="476"/>
      <c r="X35" s="477"/>
      <c r="Y35" s="478"/>
      <c r="Z35" s="477"/>
      <c r="AA35" s="478"/>
      <c r="AB35" s="477"/>
      <c r="AC35" s="478"/>
      <c r="AD35" s="477"/>
      <c r="AE35" s="478">
        <v>2</v>
      </c>
      <c r="AF35" s="469">
        <f>AD35*2</f>
        <v>0</v>
      </c>
      <c r="AG35" s="469">
        <v>2</v>
      </c>
      <c r="AH35" s="96"/>
      <c r="AI35" s="8"/>
    </row>
    <row r="36" spans="1:37" ht="25.35" customHeight="1" thickBot="1">
      <c r="B36" s="552"/>
      <c r="C36" s="470" t="s">
        <v>138</v>
      </c>
      <c r="D36" s="473"/>
      <c r="E36" s="474"/>
      <c r="F36" s="125"/>
      <c r="G36" s="126"/>
      <c r="H36" s="125"/>
      <c r="I36" s="126"/>
      <c r="J36" s="125"/>
      <c r="K36" s="126"/>
      <c r="L36" s="125"/>
      <c r="M36" s="126"/>
      <c r="N36" s="479"/>
      <c r="O36" s="480"/>
      <c r="P36" s="479"/>
      <c r="Q36" s="480"/>
      <c r="R36" s="479"/>
      <c r="S36" s="480"/>
      <c r="T36" s="479"/>
      <c r="U36" s="480"/>
      <c r="V36" s="479"/>
      <c r="W36" s="480"/>
      <c r="X36" s="481"/>
      <c r="Y36" s="482"/>
      <c r="Z36" s="481"/>
      <c r="AA36" s="482"/>
      <c r="AB36" s="481"/>
      <c r="AC36" s="482"/>
      <c r="AD36" s="481"/>
      <c r="AE36" s="482">
        <v>2</v>
      </c>
      <c r="AF36" s="483">
        <v>0</v>
      </c>
      <c r="AG36" s="483">
        <v>2</v>
      </c>
      <c r="AH36" s="96"/>
      <c r="AI36" s="8"/>
    </row>
    <row r="37" spans="1:37" ht="25.35" customHeight="1" thickTop="1">
      <c r="B37" s="564" t="s">
        <v>21</v>
      </c>
      <c r="C37" s="14" t="s">
        <v>16</v>
      </c>
      <c r="D37" s="101">
        <v>3</v>
      </c>
      <c r="E37" s="102">
        <v>3</v>
      </c>
      <c r="F37" s="101">
        <v>3</v>
      </c>
      <c r="G37" s="102">
        <v>3</v>
      </c>
      <c r="H37" s="101">
        <v>3</v>
      </c>
      <c r="I37" s="102">
        <v>3</v>
      </c>
      <c r="J37" s="101">
        <v>3</v>
      </c>
      <c r="K37" s="102">
        <v>3</v>
      </c>
      <c r="L37" s="101">
        <v>3</v>
      </c>
      <c r="M37" s="102">
        <v>3</v>
      </c>
      <c r="N37" s="128">
        <v>3</v>
      </c>
      <c r="O37" s="139">
        <v>3</v>
      </c>
      <c r="P37" s="128">
        <v>3</v>
      </c>
      <c r="Q37" s="139">
        <v>3</v>
      </c>
      <c r="R37" s="128">
        <v>3</v>
      </c>
      <c r="S37" s="139">
        <v>3</v>
      </c>
      <c r="T37" s="128">
        <v>3</v>
      </c>
      <c r="U37" s="139">
        <v>3</v>
      </c>
      <c r="V37" s="128">
        <v>3</v>
      </c>
      <c r="W37" s="139">
        <v>3</v>
      </c>
      <c r="X37" s="153"/>
      <c r="Y37" s="154"/>
      <c r="Z37" s="153"/>
      <c r="AA37" s="154"/>
      <c r="AB37" s="153"/>
      <c r="AC37" s="154"/>
      <c r="AD37" s="153"/>
      <c r="AE37" s="154"/>
      <c r="AF37" s="75">
        <f>F37*2+H37*2+J37*2+L37*2+P37*3+R37*2+T37*2+V37*2+X37*3+Z37*2+AB37*2+AD37*2+D37</f>
        <v>54</v>
      </c>
      <c r="AG37" s="75">
        <f>G37*2+I37*2+K37*2+M37*2+Q37*3+S37*2+U37*2+W37*2+Y37*3+AA37*2+AC37*2+AE37*2+E37</f>
        <v>54</v>
      </c>
      <c r="AH37" s="5">
        <f>SUM(AF37:AF40)</f>
        <v>90</v>
      </c>
      <c r="AI37" s="5">
        <f>SUM(AG37:AG40)</f>
        <v>92</v>
      </c>
    </row>
    <row r="38" spans="1:37" ht="25.35" customHeight="1">
      <c r="B38" s="565"/>
      <c r="C38" s="43" t="s">
        <v>239</v>
      </c>
      <c r="D38" s="229"/>
      <c r="E38" s="230"/>
      <c r="F38" s="103"/>
      <c r="G38" s="104"/>
      <c r="H38" s="103"/>
      <c r="I38" s="104"/>
      <c r="J38" s="103"/>
      <c r="K38" s="104"/>
      <c r="L38" s="103"/>
      <c r="M38" s="104"/>
      <c r="N38" s="140"/>
      <c r="O38" s="141"/>
      <c r="P38" s="140"/>
      <c r="Q38" s="141"/>
      <c r="R38" s="140"/>
      <c r="S38" s="141"/>
      <c r="T38" s="140"/>
      <c r="U38" s="141"/>
      <c r="V38" s="140"/>
      <c r="W38" s="141"/>
      <c r="X38" s="155">
        <v>1</v>
      </c>
      <c r="Y38" s="156">
        <v>1</v>
      </c>
      <c r="Z38" s="155">
        <v>1</v>
      </c>
      <c r="AA38" s="156">
        <v>1</v>
      </c>
      <c r="AB38" s="155">
        <v>1</v>
      </c>
      <c r="AC38" s="156">
        <v>1</v>
      </c>
      <c r="AD38" s="155">
        <v>1</v>
      </c>
      <c r="AE38" s="156">
        <v>1</v>
      </c>
      <c r="AF38" s="79">
        <f>F38*3+H38*2+J38*2+L38*2+P38*3+R38*2+T38*2+V38*2+X38*3+Z38*2+AB38*2+AD38*2</f>
        <v>9</v>
      </c>
      <c r="AG38" s="79">
        <f>G38*3+I38*2+K38*2+M38*2+Q38*3+S38*2+U38*2+W38*2+Y38*3+AA38*2+AC38*2+AE38*2</f>
        <v>9</v>
      </c>
      <c r="AH38" s="8"/>
      <c r="AI38" s="8"/>
      <c r="AK38" s="224"/>
    </row>
    <row r="39" spans="1:37" ht="25.35" customHeight="1">
      <c r="B39" s="565"/>
      <c r="C39" s="43" t="s">
        <v>76</v>
      </c>
      <c r="D39" s="229"/>
      <c r="E39" s="230"/>
      <c r="F39" s="103"/>
      <c r="G39" s="104"/>
      <c r="H39" s="103"/>
      <c r="I39" s="104"/>
      <c r="J39" s="103"/>
      <c r="K39" s="104"/>
      <c r="L39" s="103"/>
      <c r="M39" s="104"/>
      <c r="N39" s="129"/>
      <c r="O39" s="130"/>
      <c r="P39" s="129"/>
      <c r="Q39" s="130"/>
      <c r="R39" s="129"/>
      <c r="S39" s="130"/>
      <c r="T39" s="129"/>
      <c r="U39" s="130"/>
      <c r="V39" s="129"/>
      <c r="W39" s="130"/>
      <c r="X39" s="155">
        <v>3</v>
      </c>
      <c r="Y39" s="156">
        <v>3</v>
      </c>
      <c r="Z39" s="155">
        <v>3</v>
      </c>
      <c r="AA39" s="156">
        <v>3</v>
      </c>
      <c r="AB39" s="155">
        <v>3</v>
      </c>
      <c r="AC39" s="156">
        <v>3</v>
      </c>
      <c r="AD39" s="155">
        <v>3</v>
      </c>
      <c r="AE39" s="156">
        <v>3</v>
      </c>
      <c r="AF39" s="79">
        <f>F39*3+H39*2+J39*2+L39*2+P39*3+R39*2+T39*2+V39*2+X39*3+Z39*2+AB39*2+AD39*2</f>
        <v>27</v>
      </c>
      <c r="AG39" s="79">
        <f>G39*3+I39*2+K39*2+M39*2+Q39*3+S39*2+U39*2+W39*2+Y39*3+AA39*2+AC39*2+AE39*2</f>
        <v>27</v>
      </c>
      <c r="AH39" s="8"/>
      <c r="AI39" s="8"/>
      <c r="AK39" s="224"/>
    </row>
    <row r="40" spans="1:37" ht="25.35" customHeight="1" thickBot="1">
      <c r="B40" s="565"/>
      <c r="C40" s="217" t="s">
        <v>201</v>
      </c>
      <c r="D40" s="113"/>
      <c r="E40" s="114"/>
      <c r="F40" s="113"/>
      <c r="G40" s="114"/>
      <c r="H40" s="113"/>
      <c r="I40" s="114"/>
      <c r="J40" s="113"/>
      <c r="K40" s="114"/>
      <c r="L40" s="113"/>
      <c r="M40" s="114"/>
      <c r="N40" s="131"/>
      <c r="O40" s="132"/>
      <c r="P40" s="131"/>
      <c r="Q40" s="132"/>
      <c r="R40" s="131"/>
      <c r="S40" s="132">
        <v>2</v>
      </c>
      <c r="T40" s="131"/>
      <c r="U40" s="132"/>
      <c r="V40" s="131"/>
      <c r="W40" s="132">
        <v>2</v>
      </c>
      <c r="X40" s="165"/>
      <c r="Y40" s="166"/>
      <c r="Z40" s="165"/>
      <c r="AA40" s="166"/>
      <c r="AB40" s="165"/>
      <c r="AC40" s="166"/>
      <c r="AD40" s="165"/>
      <c r="AE40" s="166"/>
      <c r="AF40" s="84">
        <v>0</v>
      </c>
      <c r="AG40" s="84">
        <v>2</v>
      </c>
      <c r="AH40" s="96"/>
      <c r="AI40" s="9"/>
    </row>
    <row r="41" spans="1:37" ht="25.35" customHeight="1" thickTop="1">
      <c r="B41" s="566"/>
      <c r="C41" s="55" t="s">
        <v>53</v>
      </c>
      <c r="D41" s="115">
        <v>2</v>
      </c>
      <c r="E41" s="232"/>
      <c r="F41" s="115">
        <v>2</v>
      </c>
      <c r="G41" s="116"/>
      <c r="H41" s="115">
        <v>2</v>
      </c>
      <c r="I41" s="116"/>
      <c r="J41" s="115">
        <v>2</v>
      </c>
      <c r="K41" s="116"/>
      <c r="L41" s="115">
        <v>2</v>
      </c>
      <c r="M41" s="116"/>
      <c r="N41" s="140"/>
      <c r="O41" s="141"/>
      <c r="P41" s="140"/>
      <c r="Q41" s="141"/>
      <c r="R41" s="140"/>
      <c r="S41" s="141"/>
      <c r="T41" s="140"/>
      <c r="U41" s="141"/>
      <c r="V41" s="140"/>
      <c r="W41" s="141"/>
      <c r="X41" s="167"/>
      <c r="Y41" s="168"/>
      <c r="Z41" s="167"/>
      <c r="AA41" s="168"/>
      <c r="AB41" s="167"/>
      <c r="AC41" s="168"/>
      <c r="AD41" s="167"/>
      <c r="AE41" s="168"/>
      <c r="AF41" s="83">
        <f>F41*2+H41*2+J41*2+L41*2+P41*3+R41*2+T41*2+V41*2+X41*3+Z41*2+AB41*2+AD41*2+D41</f>
        <v>18</v>
      </c>
      <c r="AG41" s="83">
        <f>G41*3+I41*2+K41*2+M41*2+Q41*3+S41*2+U41*2+W41*2+Y41*3+AA41*2+AC41*2+AE41*2</f>
        <v>0</v>
      </c>
      <c r="AH41" s="22">
        <f>SUM(AF41:AF43)</f>
        <v>18</v>
      </c>
      <c r="AI41" s="22">
        <f>AG43+AG42</f>
        <v>18</v>
      </c>
    </row>
    <row r="42" spans="1:37" ht="25.35" customHeight="1">
      <c r="B42" s="566"/>
      <c r="C42" s="89" t="s">
        <v>135</v>
      </c>
      <c r="D42" s="237"/>
      <c r="E42" s="238">
        <v>1</v>
      </c>
      <c r="F42" s="117"/>
      <c r="G42" s="118">
        <v>1</v>
      </c>
      <c r="H42" s="117"/>
      <c r="I42" s="118">
        <v>1</v>
      </c>
      <c r="J42" s="117"/>
      <c r="K42" s="118">
        <v>1</v>
      </c>
      <c r="L42" s="117"/>
      <c r="M42" s="118">
        <v>1</v>
      </c>
      <c r="N42" s="142"/>
      <c r="O42" s="143"/>
      <c r="P42" s="142"/>
      <c r="Q42" s="143"/>
      <c r="R42" s="142"/>
      <c r="S42" s="143"/>
      <c r="T42" s="142"/>
      <c r="U42" s="143"/>
      <c r="V42" s="142"/>
      <c r="W42" s="143"/>
      <c r="X42" s="157"/>
      <c r="Y42" s="158"/>
      <c r="Z42" s="157"/>
      <c r="AA42" s="158"/>
      <c r="AB42" s="157"/>
      <c r="AC42" s="158"/>
      <c r="AD42" s="157"/>
      <c r="AE42" s="158"/>
      <c r="AF42" s="97">
        <v>0</v>
      </c>
      <c r="AG42" s="79">
        <v>9</v>
      </c>
      <c r="AH42" s="8"/>
      <c r="AI42" s="8"/>
    </row>
    <row r="43" spans="1:37" ht="26.25" customHeight="1" thickBot="1">
      <c r="B43" s="567"/>
      <c r="C43" s="60" t="s">
        <v>136</v>
      </c>
      <c r="D43" s="241"/>
      <c r="E43" s="242">
        <v>1</v>
      </c>
      <c r="F43" s="111"/>
      <c r="G43" s="112">
        <v>1</v>
      </c>
      <c r="H43" s="111"/>
      <c r="I43" s="112">
        <v>1</v>
      </c>
      <c r="J43" s="111"/>
      <c r="K43" s="112">
        <v>1</v>
      </c>
      <c r="L43" s="111"/>
      <c r="M43" s="112">
        <v>1</v>
      </c>
      <c r="N43" s="137"/>
      <c r="O43" s="138"/>
      <c r="P43" s="137"/>
      <c r="Q43" s="138"/>
      <c r="R43" s="137"/>
      <c r="S43" s="138"/>
      <c r="T43" s="137"/>
      <c r="U43" s="138"/>
      <c r="V43" s="137"/>
      <c r="W43" s="138"/>
      <c r="X43" s="163"/>
      <c r="Y43" s="164"/>
      <c r="Z43" s="163"/>
      <c r="AA43" s="164"/>
      <c r="AB43" s="163"/>
      <c r="AC43" s="164"/>
      <c r="AD43" s="163"/>
      <c r="AE43" s="164"/>
      <c r="AF43" s="80">
        <f>F43*3+H43*2+J43*2+L43*2+P43*3+R43*2+T43*2+V43*2+X43*3+Z43*2+AB43*2+AD43*2</f>
        <v>0</v>
      </c>
      <c r="AG43" s="80">
        <f>G43*3+I43*2+K43*2+M43*2+Q43*3+S43*2+U43*2+W43*2+Y43*3+AA43*2+AC43*2+AE43*2</f>
        <v>9</v>
      </c>
      <c r="AH43" s="23"/>
      <c r="AI43" s="23"/>
    </row>
    <row r="44" spans="1:37" ht="25.35" customHeight="1" thickTop="1">
      <c r="B44" s="559" t="s">
        <v>51</v>
      </c>
      <c r="C44" s="55" t="s">
        <v>61</v>
      </c>
      <c r="D44" s="231"/>
      <c r="E44" s="232"/>
      <c r="F44" s="101">
        <v>3</v>
      </c>
      <c r="G44" s="102">
        <v>3</v>
      </c>
      <c r="H44" s="101">
        <v>3</v>
      </c>
      <c r="I44" s="102">
        <v>3</v>
      </c>
      <c r="J44" s="101">
        <v>3</v>
      </c>
      <c r="K44" s="102">
        <v>3</v>
      </c>
      <c r="L44" s="101">
        <v>3</v>
      </c>
      <c r="M44" s="102">
        <v>3</v>
      </c>
      <c r="N44" s="128"/>
      <c r="O44" s="139"/>
      <c r="P44" s="128">
        <v>2</v>
      </c>
      <c r="Q44" s="139">
        <v>2</v>
      </c>
      <c r="R44" s="128">
        <v>2</v>
      </c>
      <c r="S44" s="139">
        <v>2</v>
      </c>
      <c r="T44" s="128">
        <v>2</v>
      </c>
      <c r="U44" s="139">
        <v>2</v>
      </c>
      <c r="V44" s="128"/>
      <c r="W44" s="139"/>
      <c r="X44" s="161"/>
      <c r="Y44" s="162"/>
      <c r="Z44" s="161"/>
      <c r="AA44" s="162"/>
      <c r="AB44" s="161"/>
      <c r="AC44" s="162"/>
      <c r="AD44" s="161"/>
      <c r="AE44" s="162"/>
      <c r="AF44" s="75">
        <f>F44*2+H44*2+J44*2+L44*2+P44*2+R44*2+T44*2+V44*2+X44*3+Z44*2+AB44*2+AD44*2</f>
        <v>36</v>
      </c>
      <c r="AG44" s="75">
        <f>G44*2+I44*2+K44*2+M44*2+Q44*2+S44*2+U44*2+W44*2+Y44*3+AA44*2+AC44*2+AE44*2</f>
        <v>36</v>
      </c>
      <c r="AH44" s="5">
        <f>SUM(AF44:AF62)</f>
        <v>115</v>
      </c>
      <c r="AI44" s="5">
        <f>SUM(AG44:AG62)</f>
        <v>119</v>
      </c>
    </row>
    <row r="45" spans="1:37" ht="25.35" customHeight="1">
      <c r="B45" s="552"/>
      <c r="C45" s="15" t="s">
        <v>43</v>
      </c>
      <c r="D45" s="233"/>
      <c r="E45" s="234"/>
      <c r="F45" s="103"/>
      <c r="G45" s="104"/>
      <c r="H45" s="103"/>
      <c r="I45" s="104"/>
      <c r="J45" s="103"/>
      <c r="K45" s="104"/>
      <c r="L45" s="103"/>
      <c r="M45" s="104"/>
      <c r="N45" s="129"/>
      <c r="O45" s="130"/>
      <c r="P45" s="129">
        <v>1</v>
      </c>
      <c r="Q45" s="130">
        <v>1</v>
      </c>
      <c r="R45" s="129">
        <v>1</v>
      </c>
      <c r="S45" s="130">
        <v>1</v>
      </c>
      <c r="T45" s="129">
        <v>1</v>
      </c>
      <c r="U45" s="130">
        <v>1</v>
      </c>
      <c r="V45" s="129"/>
      <c r="W45" s="130"/>
      <c r="X45" s="155">
        <v>3</v>
      </c>
      <c r="Y45" s="156">
        <v>3</v>
      </c>
      <c r="Z45" s="155">
        <v>4</v>
      </c>
      <c r="AA45" s="156">
        <v>4</v>
      </c>
      <c r="AB45" s="155">
        <v>4</v>
      </c>
      <c r="AC45" s="156">
        <v>4</v>
      </c>
      <c r="AD45" s="155"/>
      <c r="AE45" s="156"/>
      <c r="AF45" s="79">
        <f>F45*3+H45*2+J45*2+L45*2+P45*2+R45*2+T45*2+V45*2+X45*3+Z45*2+AB45*2+AD45*2</f>
        <v>31</v>
      </c>
      <c r="AG45" s="79">
        <f>G45*3+I45*2+K45*2+M45*2+Q45*2+S45*2+U45*2+W45*2+Y45*3+AA45*2+AC45*2+AE45*2</f>
        <v>31</v>
      </c>
      <c r="AH45" s="96"/>
      <c r="AI45" s="8"/>
      <c r="AK45" s="224"/>
    </row>
    <row r="46" spans="1:37" ht="25.35" customHeight="1">
      <c r="B46" s="552"/>
      <c r="C46" s="61" t="s">
        <v>71</v>
      </c>
      <c r="D46" s="243"/>
      <c r="E46" s="244"/>
      <c r="F46" s="115"/>
      <c r="G46" s="116"/>
      <c r="H46" s="115">
        <v>2</v>
      </c>
      <c r="I46" s="116">
        <v>2</v>
      </c>
      <c r="J46" s="115">
        <v>2</v>
      </c>
      <c r="K46" s="116">
        <v>2</v>
      </c>
      <c r="L46" s="115"/>
      <c r="M46" s="116"/>
      <c r="N46" s="140"/>
      <c r="O46" s="141"/>
      <c r="P46" s="140"/>
      <c r="Q46" s="141"/>
      <c r="R46" s="140"/>
      <c r="S46" s="141"/>
      <c r="T46" s="140"/>
      <c r="U46" s="141"/>
      <c r="V46" s="140"/>
      <c r="W46" s="141"/>
      <c r="X46" s="167"/>
      <c r="Y46" s="168"/>
      <c r="Z46" s="167"/>
      <c r="AA46" s="168"/>
      <c r="AB46" s="167"/>
      <c r="AC46" s="168"/>
      <c r="AD46" s="167"/>
      <c r="AE46" s="168"/>
      <c r="AF46" s="83">
        <f t="shared" ref="AF46:AG49" si="1">F46*3+H46*2+J46*2+L46*2+P46*3+R46*2+T46*2+V46*2+X46*3+Z46*2+AB46*2+AD46*2</f>
        <v>8</v>
      </c>
      <c r="AG46" s="83">
        <f t="shared" si="1"/>
        <v>8</v>
      </c>
      <c r="AH46" s="96"/>
      <c r="AI46" s="96"/>
      <c r="AK46" s="224"/>
    </row>
    <row r="47" spans="1:37" ht="25.35" customHeight="1">
      <c r="B47" s="552"/>
      <c r="C47" s="61" t="s">
        <v>69</v>
      </c>
      <c r="D47" s="243"/>
      <c r="E47" s="244"/>
      <c r="F47" s="115"/>
      <c r="G47" s="104"/>
      <c r="H47" s="115">
        <v>1</v>
      </c>
      <c r="I47" s="104">
        <v>1</v>
      </c>
      <c r="J47" s="115"/>
      <c r="K47" s="116"/>
      <c r="L47" s="115"/>
      <c r="M47" s="116"/>
      <c r="N47" s="140"/>
      <c r="O47" s="141"/>
      <c r="P47" s="140"/>
      <c r="Q47" s="141"/>
      <c r="R47" s="140"/>
      <c r="S47" s="141"/>
      <c r="T47" s="140"/>
      <c r="U47" s="141"/>
      <c r="V47" s="140"/>
      <c r="W47" s="141"/>
      <c r="X47" s="167"/>
      <c r="Y47" s="168"/>
      <c r="Z47" s="167"/>
      <c r="AA47" s="168"/>
      <c r="AB47" s="167"/>
      <c r="AC47" s="168"/>
      <c r="AD47" s="167"/>
      <c r="AE47" s="168"/>
      <c r="AF47" s="79">
        <f t="shared" si="1"/>
        <v>2</v>
      </c>
      <c r="AG47" s="79">
        <f t="shared" si="1"/>
        <v>2</v>
      </c>
      <c r="AH47" s="96"/>
      <c r="AI47" s="96"/>
    </row>
    <row r="48" spans="1:37" ht="25.35" customHeight="1">
      <c r="B48" s="552"/>
      <c r="C48" s="43" t="s">
        <v>65</v>
      </c>
      <c r="D48" s="239"/>
      <c r="E48" s="240"/>
      <c r="F48" s="109"/>
      <c r="G48" s="110"/>
      <c r="H48" s="109"/>
      <c r="I48" s="110"/>
      <c r="J48" s="103"/>
      <c r="K48" s="104"/>
      <c r="L48" s="103"/>
      <c r="M48" s="104"/>
      <c r="N48" s="129"/>
      <c r="O48" s="130"/>
      <c r="P48" s="129"/>
      <c r="Q48" s="130"/>
      <c r="R48" s="129">
        <v>2</v>
      </c>
      <c r="S48" s="130">
        <v>2</v>
      </c>
      <c r="T48" s="129">
        <v>2</v>
      </c>
      <c r="U48" s="130">
        <v>2</v>
      </c>
      <c r="V48" s="129"/>
      <c r="W48" s="130"/>
      <c r="X48" s="155"/>
      <c r="Y48" s="156"/>
      <c r="Z48" s="155"/>
      <c r="AA48" s="156"/>
      <c r="AB48" s="155"/>
      <c r="AC48" s="156"/>
      <c r="AD48" s="155"/>
      <c r="AE48" s="156"/>
      <c r="AF48" s="79">
        <f t="shared" si="1"/>
        <v>8</v>
      </c>
      <c r="AG48" s="79">
        <f t="shared" si="1"/>
        <v>8</v>
      </c>
      <c r="AH48" s="9"/>
      <c r="AI48" s="96"/>
    </row>
    <row r="49" spans="2:37" ht="25.35" customHeight="1">
      <c r="B49" s="552"/>
      <c r="C49" s="43" t="s">
        <v>85</v>
      </c>
      <c r="D49" s="239"/>
      <c r="E49" s="240"/>
      <c r="F49" s="109"/>
      <c r="G49" s="110"/>
      <c r="H49" s="109"/>
      <c r="I49" s="110"/>
      <c r="J49" s="103"/>
      <c r="K49" s="104"/>
      <c r="L49" s="103"/>
      <c r="M49" s="104"/>
      <c r="N49" s="129"/>
      <c r="O49" s="130"/>
      <c r="P49" s="129"/>
      <c r="Q49" s="130"/>
      <c r="R49" s="129"/>
      <c r="S49" s="130"/>
      <c r="T49" s="129"/>
      <c r="U49" s="130"/>
      <c r="V49" s="129">
        <v>3</v>
      </c>
      <c r="W49" s="130">
        <v>3</v>
      </c>
      <c r="X49" s="155"/>
      <c r="Y49" s="156"/>
      <c r="Z49" s="155"/>
      <c r="AA49" s="156"/>
      <c r="AB49" s="155"/>
      <c r="AC49" s="156"/>
      <c r="AD49" s="155"/>
      <c r="AE49" s="156"/>
      <c r="AF49" s="79">
        <f t="shared" si="1"/>
        <v>6</v>
      </c>
      <c r="AG49" s="79">
        <f t="shared" si="1"/>
        <v>6</v>
      </c>
      <c r="AH49" s="9"/>
      <c r="AI49" s="96"/>
    </row>
    <row r="50" spans="2:37" ht="24.95" customHeight="1">
      <c r="B50" s="552"/>
      <c r="C50" s="43" t="s">
        <v>99</v>
      </c>
      <c r="D50" s="239"/>
      <c r="E50" s="240"/>
      <c r="F50" s="109"/>
      <c r="G50" s="110"/>
      <c r="H50" s="109"/>
      <c r="I50" s="110"/>
      <c r="J50" s="103"/>
      <c r="K50" s="104"/>
      <c r="L50" s="103"/>
      <c r="M50" s="104"/>
      <c r="N50" s="129"/>
      <c r="O50" s="130"/>
      <c r="P50" s="129"/>
      <c r="Q50" s="130"/>
      <c r="R50" s="129"/>
      <c r="S50" s="130"/>
      <c r="T50" s="129"/>
      <c r="U50" s="130"/>
      <c r="V50" s="129"/>
      <c r="W50" s="130"/>
      <c r="X50" s="155"/>
      <c r="Y50" s="156"/>
      <c r="Z50" s="155"/>
      <c r="AA50" s="156"/>
      <c r="AB50" s="155"/>
      <c r="AC50" s="156"/>
      <c r="AD50" s="155">
        <v>3</v>
      </c>
      <c r="AE50" s="156">
        <v>3</v>
      </c>
      <c r="AF50" s="79">
        <f>AD50*2</f>
        <v>6</v>
      </c>
      <c r="AG50" s="79">
        <f>AE50*2</f>
        <v>6</v>
      </c>
      <c r="AH50" s="9"/>
      <c r="AI50" s="96"/>
    </row>
    <row r="51" spans="2:37" ht="24.95" customHeight="1">
      <c r="B51" s="552"/>
      <c r="C51" s="43" t="s">
        <v>64</v>
      </c>
      <c r="D51" s="229"/>
      <c r="E51" s="230"/>
      <c r="F51" s="103"/>
      <c r="G51" s="104"/>
      <c r="H51" s="103"/>
      <c r="I51" s="104"/>
      <c r="J51" s="103"/>
      <c r="K51" s="104"/>
      <c r="L51" s="103"/>
      <c r="M51" s="104"/>
      <c r="N51" s="129"/>
      <c r="O51" s="130"/>
      <c r="P51" s="129"/>
      <c r="Q51" s="130"/>
      <c r="R51" s="129">
        <v>2</v>
      </c>
      <c r="S51" s="130">
        <v>2</v>
      </c>
      <c r="T51" s="129"/>
      <c r="U51" s="130"/>
      <c r="V51" s="129"/>
      <c r="W51" s="130"/>
      <c r="X51" s="155"/>
      <c r="Y51" s="156"/>
      <c r="Z51" s="155"/>
      <c r="AA51" s="156"/>
      <c r="AB51" s="155"/>
      <c r="AC51" s="156"/>
      <c r="AD51" s="155"/>
      <c r="AE51" s="156"/>
      <c r="AF51" s="81">
        <v>4</v>
      </c>
      <c r="AG51" s="81">
        <v>4</v>
      </c>
      <c r="AH51" s="9"/>
      <c r="AI51" s="96"/>
    </row>
    <row r="52" spans="2:37" ht="24.95" customHeight="1">
      <c r="B52" s="552"/>
      <c r="C52" s="43" t="s">
        <v>339</v>
      </c>
      <c r="D52" s="229"/>
      <c r="E52" s="230"/>
      <c r="F52" s="103"/>
      <c r="G52" s="104"/>
      <c r="H52" s="103"/>
      <c r="I52" s="104"/>
      <c r="J52" s="103"/>
      <c r="K52" s="104"/>
      <c r="L52" s="103"/>
      <c r="M52" s="104"/>
      <c r="N52" s="129"/>
      <c r="O52" s="130"/>
      <c r="P52" s="129"/>
      <c r="Q52" s="130"/>
      <c r="R52" s="129"/>
      <c r="S52" s="130"/>
      <c r="T52" s="129"/>
      <c r="U52" s="130"/>
      <c r="V52" s="129"/>
      <c r="W52" s="130"/>
      <c r="X52" s="155"/>
      <c r="Y52" s="156">
        <v>2</v>
      </c>
      <c r="Z52" s="155"/>
      <c r="AA52" s="156">
        <v>2</v>
      </c>
      <c r="AB52" s="155"/>
      <c r="AC52" s="156"/>
      <c r="AD52" s="155"/>
      <c r="AE52" s="156"/>
      <c r="AF52" s="79">
        <f>X52*3</f>
        <v>0</v>
      </c>
      <c r="AG52" s="79">
        <f>Y52*2+AA52*2</f>
        <v>8</v>
      </c>
      <c r="AH52" s="9"/>
      <c r="AI52" s="96"/>
    </row>
    <row r="53" spans="2:37" ht="25.35" customHeight="1">
      <c r="B53" s="552"/>
      <c r="C53" s="43" t="s">
        <v>134</v>
      </c>
      <c r="D53" s="229"/>
      <c r="E53" s="230"/>
      <c r="F53" s="103"/>
      <c r="G53" s="104"/>
      <c r="H53" s="103"/>
      <c r="I53" s="104"/>
      <c r="J53" s="103"/>
      <c r="K53" s="104"/>
      <c r="L53" s="103"/>
      <c r="M53" s="104"/>
      <c r="N53" s="129"/>
      <c r="O53" s="130"/>
      <c r="P53" s="129"/>
      <c r="Q53" s="130"/>
      <c r="R53" s="129"/>
      <c r="S53" s="130"/>
      <c r="T53" s="129"/>
      <c r="U53" s="130"/>
      <c r="V53" s="129"/>
      <c r="W53" s="130"/>
      <c r="X53" s="155"/>
      <c r="Y53" s="156"/>
      <c r="Z53" s="155">
        <v>2</v>
      </c>
      <c r="AA53" s="156"/>
      <c r="AB53" s="155"/>
      <c r="AC53" s="156"/>
      <c r="AD53" s="155"/>
      <c r="AE53" s="156"/>
      <c r="AF53" s="79">
        <f>Z53*2</f>
        <v>4</v>
      </c>
      <c r="AG53" s="79">
        <v>0</v>
      </c>
      <c r="AH53" s="9"/>
      <c r="AI53" s="96"/>
    </row>
    <row r="54" spans="2:37" ht="25.35" customHeight="1">
      <c r="B54" s="552"/>
      <c r="C54" s="43" t="s">
        <v>290</v>
      </c>
      <c r="D54" s="229"/>
      <c r="E54" s="230"/>
      <c r="F54" s="103"/>
      <c r="G54" s="104"/>
      <c r="H54" s="103"/>
      <c r="I54" s="104"/>
      <c r="J54" s="103"/>
      <c r="K54" s="104"/>
      <c r="L54" s="103"/>
      <c r="M54" s="104"/>
      <c r="N54" s="129"/>
      <c r="O54" s="130"/>
      <c r="P54" s="129"/>
      <c r="Q54" s="130"/>
      <c r="R54" s="129"/>
      <c r="S54" s="130"/>
      <c r="T54" s="129"/>
      <c r="U54" s="130"/>
      <c r="V54" s="129"/>
      <c r="W54" s="130"/>
      <c r="X54" s="155"/>
      <c r="Y54" s="156"/>
      <c r="Z54" s="155">
        <v>2</v>
      </c>
      <c r="AA54" s="156">
        <v>2</v>
      </c>
      <c r="AB54" s="155"/>
      <c r="AC54" s="156"/>
      <c r="AD54" s="155"/>
      <c r="AE54" s="156"/>
      <c r="AF54" s="79">
        <f>Z54*2</f>
        <v>4</v>
      </c>
      <c r="AG54" s="79">
        <f>AA54*2</f>
        <v>4</v>
      </c>
      <c r="AH54" s="9"/>
      <c r="AI54" s="96"/>
    </row>
    <row r="55" spans="2:37" ht="25.35" customHeight="1">
      <c r="B55" s="552"/>
      <c r="C55" s="217" t="s">
        <v>211</v>
      </c>
      <c r="D55" s="258"/>
      <c r="E55" s="259"/>
      <c r="F55" s="103"/>
      <c r="G55" s="104"/>
      <c r="H55" s="103"/>
      <c r="I55" s="104"/>
      <c r="J55" s="103"/>
      <c r="K55" s="104"/>
      <c r="L55" s="103"/>
      <c r="M55" s="104"/>
      <c r="N55" s="129"/>
      <c r="O55" s="130"/>
      <c r="P55" s="129">
        <v>2</v>
      </c>
      <c r="Q55" s="130"/>
      <c r="R55" s="220">
        <v>2</v>
      </c>
      <c r="S55" s="221"/>
      <c r="T55" s="220">
        <v>2</v>
      </c>
      <c r="U55" s="221"/>
      <c r="V55" s="220">
        <v>2</v>
      </c>
      <c r="W55" s="221"/>
      <c r="X55" s="175"/>
      <c r="Y55" s="176"/>
      <c r="Z55" s="175"/>
      <c r="AA55" s="176"/>
      <c r="AB55" s="175"/>
      <c r="AC55" s="176"/>
      <c r="AD55" s="175"/>
      <c r="AE55" s="176"/>
      <c r="AF55" s="223">
        <v>2</v>
      </c>
      <c r="AG55" s="223">
        <v>0</v>
      </c>
      <c r="AH55" s="9"/>
      <c r="AI55" s="96"/>
    </row>
    <row r="56" spans="2:37" ht="25.35" customHeight="1">
      <c r="B56" s="552"/>
      <c r="C56" s="217" t="s">
        <v>210</v>
      </c>
      <c r="D56" s="258"/>
      <c r="E56" s="259"/>
      <c r="F56" s="103"/>
      <c r="G56" s="104"/>
      <c r="H56" s="103"/>
      <c r="I56" s="104"/>
      <c r="J56" s="103"/>
      <c r="K56" s="104"/>
      <c r="L56" s="103"/>
      <c r="M56" s="104"/>
      <c r="N56" s="129"/>
      <c r="O56" s="130"/>
      <c r="P56" s="129">
        <v>2</v>
      </c>
      <c r="Q56" s="130"/>
      <c r="R56" s="220">
        <v>2</v>
      </c>
      <c r="S56" s="221"/>
      <c r="T56" s="220">
        <v>2</v>
      </c>
      <c r="U56" s="221"/>
      <c r="V56" s="220">
        <v>2</v>
      </c>
      <c r="W56" s="221"/>
      <c r="X56" s="175"/>
      <c r="Y56" s="176"/>
      <c r="Z56" s="175"/>
      <c r="AA56" s="176"/>
      <c r="AB56" s="175"/>
      <c r="AC56" s="176"/>
      <c r="AD56" s="175"/>
      <c r="AE56" s="176"/>
      <c r="AF56" s="223">
        <v>2</v>
      </c>
      <c r="AG56" s="223">
        <v>0</v>
      </c>
      <c r="AH56" s="9"/>
      <c r="AI56" s="96"/>
    </row>
    <row r="57" spans="2:37" ht="25.35" customHeight="1">
      <c r="B57" s="552"/>
      <c r="C57" s="217" t="s">
        <v>199</v>
      </c>
      <c r="D57" s="258"/>
      <c r="E57" s="259"/>
      <c r="F57" s="119"/>
      <c r="G57" s="120"/>
      <c r="H57" s="119"/>
      <c r="I57" s="120"/>
      <c r="J57" s="119"/>
      <c r="K57" s="120"/>
      <c r="L57" s="119"/>
      <c r="M57" s="120"/>
      <c r="N57" s="149"/>
      <c r="O57" s="150"/>
      <c r="P57" s="149"/>
      <c r="Q57" s="150"/>
      <c r="R57" s="220"/>
      <c r="S57" s="221">
        <v>2</v>
      </c>
      <c r="T57" s="220"/>
      <c r="U57" s="221"/>
      <c r="V57" s="220"/>
      <c r="W57" s="221">
        <v>2</v>
      </c>
      <c r="X57" s="175"/>
      <c r="Y57" s="176"/>
      <c r="Z57" s="175"/>
      <c r="AA57" s="176"/>
      <c r="AB57" s="175"/>
      <c r="AC57" s="176"/>
      <c r="AD57" s="175"/>
      <c r="AE57" s="176"/>
      <c r="AF57" s="222">
        <f>J57+R57</f>
        <v>0</v>
      </c>
      <c r="AG57" s="222">
        <f>K57+2</f>
        <v>2</v>
      </c>
      <c r="AH57" s="9"/>
      <c r="AI57" s="96"/>
    </row>
    <row r="58" spans="2:37" ht="25.35" customHeight="1">
      <c r="B58" s="552"/>
      <c r="C58" s="217" t="s">
        <v>223</v>
      </c>
      <c r="D58" s="258"/>
      <c r="E58" s="259"/>
      <c r="F58" s="119"/>
      <c r="G58" s="120"/>
      <c r="H58" s="119"/>
      <c r="I58" s="120"/>
      <c r="J58" s="119"/>
      <c r="K58" s="120"/>
      <c r="L58" s="119"/>
      <c r="M58" s="120"/>
      <c r="N58" s="149"/>
      <c r="O58" s="150"/>
      <c r="P58" s="149"/>
      <c r="Q58" s="150"/>
      <c r="R58" s="220"/>
      <c r="S58" s="221">
        <v>2</v>
      </c>
      <c r="T58" s="220"/>
      <c r="U58" s="221"/>
      <c r="V58" s="220"/>
      <c r="W58" s="221">
        <v>2</v>
      </c>
      <c r="X58" s="175"/>
      <c r="Y58" s="176"/>
      <c r="Z58" s="175"/>
      <c r="AA58" s="176"/>
      <c r="AB58" s="175"/>
      <c r="AC58" s="176"/>
      <c r="AD58" s="175"/>
      <c r="AE58" s="176"/>
      <c r="AF58" s="223">
        <v>0</v>
      </c>
      <c r="AG58" s="223">
        <v>2</v>
      </c>
      <c r="AH58" s="9"/>
      <c r="AI58" s="96"/>
    </row>
    <row r="59" spans="2:37" ht="25.35" customHeight="1">
      <c r="B59" s="552"/>
      <c r="C59" s="217" t="s">
        <v>125</v>
      </c>
      <c r="D59" s="258"/>
      <c r="E59" s="259"/>
      <c r="F59" s="103"/>
      <c r="G59" s="104"/>
      <c r="H59" s="103"/>
      <c r="I59" s="104"/>
      <c r="J59" s="103"/>
      <c r="K59" s="104"/>
      <c r="L59" s="103"/>
      <c r="M59" s="104"/>
      <c r="N59" s="129"/>
      <c r="O59" s="130"/>
      <c r="P59" s="129"/>
      <c r="Q59" s="130"/>
      <c r="R59" s="220">
        <v>1</v>
      </c>
      <c r="S59" s="221"/>
      <c r="T59" s="220"/>
      <c r="U59" s="221"/>
      <c r="V59" s="220"/>
      <c r="W59" s="221"/>
      <c r="X59" s="175"/>
      <c r="Y59" s="176"/>
      <c r="Z59" s="175"/>
      <c r="AA59" s="176"/>
      <c r="AB59" s="175"/>
      <c r="AC59" s="176"/>
      <c r="AD59" s="175"/>
      <c r="AE59" s="176"/>
      <c r="AF59" s="223">
        <v>1</v>
      </c>
      <c r="AG59" s="223">
        <v>0</v>
      </c>
      <c r="AH59" s="9"/>
      <c r="AI59" s="96"/>
    </row>
    <row r="60" spans="2:37" ht="25.35" customHeight="1">
      <c r="B60" s="552"/>
      <c r="C60" s="217" t="s">
        <v>126</v>
      </c>
      <c r="D60" s="258"/>
      <c r="E60" s="259"/>
      <c r="F60" s="103"/>
      <c r="G60" s="104"/>
      <c r="H60" s="103"/>
      <c r="I60" s="104"/>
      <c r="J60" s="103"/>
      <c r="K60" s="104"/>
      <c r="L60" s="103"/>
      <c r="M60" s="104"/>
      <c r="N60" s="129"/>
      <c r="O60" s="130"/>
      <c r="P60" s="129"/>
      <c r="Q60" s="130"/>
      <c r="R60" s="220">
        <v>1</v>
      </c>
      <c r="S60" s="221"/>
      <c r="T60" s="220"/>
      <c r="U60" s="221"/>
      <c r="V60" s="220"/>
      <c r="W60" s="221"/>
      <c r="X60" s="175"/>
      <c r="Y60" s="176"/>
      <c r="Z60" s="175"/>
      <c r="AA60" s="176"/>
      <c r="AB60" s="175"/>
      <c r="AC60" s="176"/>
      <c r="AD60" s="175"/>
      <c r="AE60" s="176"/>
      <c r="AF60" s="223">
        <v>1</v>
      </c>
      <c r="AG60" s="223">
        <v>0</v>
      </c>
      <c r="AH60" s="9"/>
      <c r="AI60" s="96"/>
    </row>
    <row r="61" spans="2:37" ht="25.35" customHeight="1">
      <c r="B61" s="552"/>
      <c r="C61" s="217" t="s">
        <v>121</v>
      </c>
      <c r="D61" s="258"/>
      <c r="E61" s="259"/>
      <c r="F61" s="103"/>
      <c r="G61" s="104"/>
      <c r="H61" s="103"/>
      <c r="I61" s="104"/>
      <c r="J61" s="103"/>
      <c r="K61" s="104"/>
      <c r="L61" s="103"/>
      <c r="M61" s="104"/>
      <c r="N61" s="129"/>
      <c r="O61" s="130"/>
      <c r="P61" s="129"/>
      <c r="Q61" s="130"/>
      <c r="R61" s="220"/>
      <c r="S61" s="221">
        <v>1</v>
      </c>
      <c r="T61" s="220"/>
      <c r="U61" s="221"/>
      <c r="V61" s="220"/>
      <c r="W61" s="221"/>
      <c r="X61" s="175"/>
      <c r="Y61" s="176"/>
      <c r="Z61" s="175"/>
      <c r="AA61" s="176"/>
      <c r="AB61" s="175"/>
      <c r="AC61" s="176"/>
      <c r="AD61" s="175"/>
      <c r="AE61" s="176"/>
      <c r="AF61" s="223">
        <v>0</v>
      </c>
      <c r="AG61" s="223">
        <v>1</v>
      </c>
      <c r="AH61" s="9"/>
      <c r="AI61" s="96"/>
    </row>
    <row r="62" spans="2:37" ht="25.35" customHeight="1" thickBot="1">
      <c r="B62" s="552"/>
      <c r="C62" s="217" t="s">
        <v>120</v>
      </c>
      <c r="D62" s="258"/>
      <c r="E62" s="259"/>
      <c r="F62" s="103"/>
      <c r="G62" s="104"/>
      <c r="H62" s="103"/>
      <c r="I62" s="104"/>
      <c r="J62" s="103"/>
      <c r="K62" s="104"/>
      <c r="L62" s="103"/>
      <c r="M62" s="104"/>
      <c r="N62" s="129"/>
      <c r="O62" s="130"/>
      <c r="P62" s="129"/>
      <c r="Q62" s="130"/>
      <c r="R62" s="220"/>
      <c r="S62" s="221">
        <v>1</v>
      </c>
      <c r="T62" s="220"/>
      <c r="U62" s="221"/>
      <c r="V62" s="220"/>
      <c r="W62" s="221"/>
      <c r="X62" s="175"/>
      <c r="Y62" s="176"/>
      <c r="Z62" s="175"/>
      <c r="AA62" s="176"/>
      <c r="AB62" s="175"/>
      <c r="AC62" s="176"/>
      <c r="AD62" s="175"/>
      <c r="AE62" s="176"/>
      <c r="AF62" s="223">
        <v>0</v>
      </c>
      <c r="AG62" s="223">
        <v>1</v>
      </c>
      <c r="AH62" s="9"/>
      <c r="AI62" s="96"/>
    </row>
    <row r="63" spans="2:37" ht="25.35" customHeight="1" thickTop="1">
      <c r="B63" s="550" t="s">
        <v>11</v>
      </c>
      <c r="C63" s="14" t="s">
        <v>0</v>
      </c>
      <c r="D63" s="245"/>
      <c r="E63" s="246"/>
      <c r="F63" s="101">
        <v>2</v>
      </c>
      <c r="G63" s="102">
        <v>2</v>
      </c>
      <c r="H63" s="101">
        <v>2</v>
      </c>
      <c r="I63" s="102">
        <v>2</v>
      </c>
      <c r="J63" s="101">
        <v>2</v>
      </c>
      <c r="K63" s="102">
        <v>2</v>
      </c>
      <c r="L63" s="101">
        <v>2</v>
      </c>
      <c r="M63" s="102">
        <v>2</v>
      </c>
      <c r="N63" s="128"/>
      <c r="O63" s="139"/>
      <c r="P63" s="128"/>
      <c r="Q63" s="139"/>
      <c r="R63" s="128"/>
      <c r="S63" s="139"/>
      <c r="T63" s="128"/>
      <c r="U63" s="139"/>
      <c r="V63" s="128"/>
      <c r="W63" s="139"/>
      <c r="X63" s="153"/>
      <c r="Y63" s="154"/>
      <c r="Z63" s="153"/>
      <c r="AA63" s="154"/>
      <c r="AB63" s="153"/>
      <c r="AC63" s="154"/>
      <c r="AD63" s="153"/>
      <c r="AE63" s="154"/>
      <c r="AF63" s="75">
        <f>F63*2+H63*2+J63*2+L63*2+P63*3+R63*2+T63*2+V63*2+X63*3+Z63*2+AB63*2+AD63*2</f>
        <v>16</v>
      </c>
      <c r="AG63" s="75">
        <f>G63*2+I63*2+K63*2+M63*2+Q63*3+S63*2+U63*2+W63*2+Y63*3+AA63*2+AC63*2+AE63*2</f>
        <v>16</v>
      </c>
      <c r="AH63" s="5">
        <f>SUM(AF63:AF81)</f>
        <v>127</v>
      </c>
      <c r="AI63" s="5">
        <f>SUM(AG63:AG81)</f>
        <v>127</v>
      </c>
    </row>
    <row r="64" spans="2:37" ht="25.35" customHeight="1">
      <c r="B64" s="551"/>
      <c r="C64" s="16" t="s">
        <v>44</v>
      </c>
      <c r="D64" s="247"/>
      <c r="E64" s="248"/>
      <c r="F64" s="115"/>
      <c r="G64" s="116"/>
      <c r="H64" s="115"/>
      <c r="I64" s="116"/>
      <c r="J64" s="115"/>
      <c r="K64" s="116"/>
      <c r="L64" s="115"/>
      <c r="M64" s="116"/>
      <c r="N64" s="140"/>
      <c r="O64" s="141"/>
      <c r="P64" s="140">
        <v>4</v>
      </c>
      <c r="Q64" s="141">
        <v>4</v>
      </c>
      <c r="R64" s="140">
        <v>4</v>
      </c>
      <c r="S64" s="141">
        <v>4</v>
      </c>
      <c r="T64" s="140">
        <v>4</v>
      </c>
      <c r="U64" s="141">
        <v>4</v>
      </c>
      <c r="V64" s="140"/>
      <c r="W64" s="141"/>
      <c r="X64" s="167"/>
      <c r="Y64" s="168"/>
      <c r="Z64" s="167"/>
      <c r="AA64" s="168"/>
      <c r="AB64" s="167"/>
      <c r="AC64" s="168"/>
      <c r="AD64" s="167"/>
      <c r="AE64" s="168"/>
      <c r="AF64" s="79">
        <f>F64*3+H64*2+J64*2+L64*2+P64*3+R64*2+T64*2+V64*2+X64*3+Z64*2+AB64*2+AD64*2</f>
        <v>28</v>
      </c>
      <c r="AG64" s="79">
        <f>G64*3+I64*2+K64*2+M64*2+Q64*3+S64*2+U64*2+W64*2+Y64*3+AA64*2+AC64*2+AE64*2</f>
        <v>28</v>
      </c>
      <c r="AH64" s="8"/>
      <c r="AI64" s="8"/>
      <c r="AK64" s="224"/>
    </row>
    <row r="65" spans="2:37" ht="25.35" customHeight="1">
      <c r="B65" s="551"/>
      <c r="C65" s="55" t="s">
        <v>83</v>
      </c>
      <c r="D65" s="231"/>
      <c r="E65" s="232"/>
      <c r="F65" s="115"/>
      <c r="G65" s="116"/>
      <c r="H65" s="115"/>
      <c r="I65" s="116"/>
      <c r="J65" s="115"/>
      <c r="K65" s="116"/>
      <c r="L65" s="115"/>
      <c r="M65" s="116"/>
      <c r="N65" s="140"/>
      <c r="O65" s="141"/>
      <c r="P65" s="140"/>
      <c r="Q65" s="141"/>
      <c r="R65" s="140"/>
      <c r="S65" s="141"/>
      <c r="T65" s="140"/>
      <c r="U65" s="141"/>
      <c r="V65" s="140">
        <v>3</v>
      </c>
      <c r="W65" s="141">
        <v>3</v>
      </c>
      <c r="X65" s="167"/>
      <c r="Y65" s="168"/>
      <c r="Z65" s="167"/>
      <c r="AA65" s="168"/>
      <c r="AB65" s="167"/>
      <c r="AC65" s="168"/>
      <c r="AD65" s="167"/>
      <c r="AE65" s="168"/>
      <c r="AF65" s="79">
        <f>F65*3+H65*2+J65*2+L65*2+P65*3+R65*2+T65*2+V65*2+X65*3+Z65*2+AB65*2+AD65*2</f>
        <v>6</v>
      </c>
      <c r="AG65" s="79">
        <f>G65*3+I65*2+K65*2+M65*2+Q65*3+S65*2+U65*2+W65*2+Y65*3+AA65*2+AC65*2+AE65*2</f>
        <v>6</v>
      </c>
      <c r="AH65" s="8"/>
      <c r="AI65" s="8"/>
      <c r="AK65" s="224"/>
    </row>
    <row r="66" spans="2:37" ht="25.35" customHeight="1">
      <c r="B66" s="551"/>
      <c r="C66" s="43" t="s">
        <v>94</v>
      </c>
      <c r="D66" s="229"/>
      <c r="E66" s="230"/>
      <c r="F66" s="103"/>
      <c r="G66" s="104"/>
      <c r="H66" s="103"/>
      <c r="I66" s="104"/>
      <c r="J66" s="103"/>
      <c r="K66" s="104"/>
      <c r="L66" s="103"/>
      <c r="M66" s="104"/>
      <c r="N66" s="129"/>
      <c r="O66" s="130"/>
      <c r="P66" s="129"/>
      <c r="Q66" s="130"/>
      <c r="R66" s="129"/>
      <c r="S66" s="130"/>
      <c r="T66" s="129"/>
      <c r="U66" s="130"/>
      <c r="V66" s="129"/>
      <c r="W66" s="130"/>
      <c r="X66" s="155">
        <v>3</v>
      </c>
      <c r="Y66" s="156">
        <v>3</v>
      </c>
      <c r="Z66" s="155">
        <v>4</v>
      </c>
      <c r="AA66" s="156">
        <v>4</v>
      </c>
      <c r="AB66" s="155">
        <v>4</v>
      </c>
      <c r="AC66" s="156">
        <v>4</v>
      </c>
      <c r="AD66" s="155">
        <v>3</v>
      </c>
      <c r="AE66" s="156">
        <v>3</v>
      </c>
      <c r="AF66" s="79">
        <f>X66*3+Z66*2+AB66*2+AD66*2</f>
        <v>31</v>
      </c>
      <c r="AG66" s="79">
        <f>Y66*3+AA66*2+AC66*2+AE66*2</f>
        <v>31</v>
      </c>
      <c r="AH66" s="8"/>
      <c r="AI66" s="8"/>
      <c r="AK66" s="224"/>
    </row>
    <row r="67" spans="2:37" ht="25.35" customHeight="1">
      <c r="B67" s="551"/>
      <c r="C67" s="56" t="s">
        <v>79</v>
      </c>
      <c r="D67" s="249"/>
      <c r="E67" s="250"/>
      <c r="F67" s="103"/>
      <c r="G67" s="104"/>
      <c r="H67" s="103"/>
      <c r="I67" s="104"/>
      <c r="J67" s="103"/>
      <c r="K67" s="104"/>
      <c r="L67" s="103"/>
      <c r="M67" s="104"/>
      <c r="N67" s="129"/>
      <c r="O67" s="130"/>
      <c r="P67" s="129"/>
      <c r="Q67" s="130"/>
      <c r="R67" s="129"/>
      <c r="S67" s="130"/>
      <c r="T67" s="129"/>
      <c r="U67" s="130"/>
      <c r="V67" s="129"/>
      <c r="W67" s="130"/>
      <c r="X67" s="155">
        <v>2</v>
      </c>
      <c r="Y67" s="156">
        <v>2</v>
      </c>
      <c r="Z67" s="155">
        <v>2</v>
      </c>
      <c r="AA67" s="156">
        <v>2</v>
      </c>
      <c r="AB67" s="155">
        <v>2</v>
      </c>
      <c r="AC67" s="156">
        <v>2</v>
      </c>
      <c r="AD67" s="155">
        <v>2</v>
      </c>
      <c r="AE67" s="156">
        <v>2</v>
      </c>
      <c r="AF67" s="79">
        <f>F67*3+H67*2+J67*2+L67*2+P67*3+R67*2+T67*2+V67*2+X67*3+Z67*2+AB67*2+AD67*2</f>
        <v>18</v>
      </c>
      <c r="AG67" s="79">
        <f>G67*3+I67*2+K67*2+M67*2+Q67*3+S67*2+U67*2+W67*2+Y67*3+AA67*2+AC67*2+AE67*2</f>
        <v>18</v>
      </c>
      <c r="AH67" s="8"/>
      <c r="AI67" s="8"/>
    </row>
    <row r="68" spans="2:37" ht="24.95" customHeight="1">
      <c r="B68" s="551"/>
      <c r="C68" s="55" t="s">
        <v>58</v>
      </c>
      <c r="D68" s="231"/>
      <c r="E68" s="232"/>
      <c r="F68" s="115"/>
      <c r="G68" s="116"/>
      <c r="H68" s="115">
        <v>2</v>
      </c>
      <c r="I68" s="116">
        <v>2</v>
      </c>
      <c r="J68" s="115">
        <v>2</v>
      </c>
      <c r="K68" s="116">
        <v>2</v>
      </c>
      <c r="L68" s="115"/>
      <c r="M68" s="116"/>
      <c r="N68" s="129"/>
      <c r="O68" s="130"/>
      <c r="P68" s="129"/>
      <c r="Q68" s="130"/>
      <c r="R68" s="129"/>
      <c r="S68" s="130"/>
      <c r="T68" s="129"/>
      <c r="U68" s="130"/>
      <c r="V68" s="129"/>
      <c r="W68" s="130"/>
      <c r="X68" s="167"/>
      <c r="Y68" s="168"/>
      <c r="Z68" s="167"/>
      <c r="AA68" s="168"/>
      <c r="AB68" s="167"/>
      <c r="AC68" s="168"/>
      <c r="AD68" s="167"/>
      <c r="AE68" s="168"/>
      <c r="AF68" s="79">
        <f t="shared" ref="AF68:AG72" si="2">F68*3+H68*2+J68*2+L68*2+P68*3+R68*2+T68*2+V68*2+X68*3+Z68*2+AB68*2+AD68*2</f>
        <v>8</v>
      </c>
      <c r="AG68" s="79">
        <f t="shared" si="2"/>
        <v>8</v>
      </c>
      <c r="AH68" s="8"/>
      <c r="AI68" s="8"/>
    </row>
    <row r="69" spans="2:37" ht="25.35" customHeight="1">
      <c r="B69" s="551"/>
      <c r="C69" s="43" t="s">
        <v>64</v>
      </c>
      <c r="D69" s="229"/>
      <c r="E69" s="230"/>
      <c r="F69" s="103"/>
      <c r="G69" s="104"/>
      <c r="H69" s="103"/>
      <c r="I69" s="104"/>
      <c r="J69" s="103"/>
      <c r="K69" s="104"/>
      <c r="L69" s="103"/>
      <c r="M69" s="104"/>
      <c r="N69" s="129"/>
      <c r="O69" s="130"/>
      <c r="P69" s="129"/>
      <c r="Q69" s="130"/>
      <c r="R69" s="129"/>
      <c r="S69" s="130"/>
      <c r="T69" s="129">
        <v>2</v>
      </c>
      <c r="U69" s="130">
        <v>2</v>
      </c>
      <c r="V69" s="129"/>
      <c r="W69" s="130"/>
      <c r="X69" s="155"/>
      <c r="Y69" s="156"/>
      <c r="Z69" s="155"/>
      <c r="AA69" s="156"/>
      <c r="AB69" s="155"/>
      <c r="AC69" s="156"/>
      <c r="AD69" s="155"/>
      <c r="AE69" s="156"/>
      <c r="AF69" s="79">
        <f t="shared" si="2"/>
        <v>4</v>
      </c>
      <c r="AG69" s="79">
        <f t="shared" si="2"/>
        <v>4</v>
      </c>
      <c r="AH69" s="8"/>
      <c r="AI69" s="8"/>
    </row>
    <row r="70" spans="2:37" ht="25.35" customHeight="1">
      <c r="B70" s="552"/>
      <c r="C70" s="56" t="s">
        <v>74</v>
      </c>
      <c r="D70" s="249"/>
      <c r="E70" s="250"/>
      <c r="F70" s="103"/>
      <c r="G70" s="104"/>
      <c r="H70" s="103"/>
      <c r="I70" s="104"/>
      <c r="J70" s="103"/>
      <c r="K70" s="104"/>
      <c r="L70" s="103"/>
      <c r="M70" s="104"/>
      <c r="N70" s="129"/>
      <c r="O70" s="130"/>
      <c r="P70" s="129"/>
      <c r="Q70" s="130"/>
      <c r="R70" s="129"/>
      <c r="S70" s="130"/>
      <c r="T70" s="129"/>
      <c r="U70" s="130"/>
      <c r="V70" s="129"/>
      <c r="W70" s="130"/>
      <c r="X70" s="155"/>
      <c r="Y70" s="156"/>
      <c r="Z70" s="155"/>
      <c r="AA70" s="156"/>
      <c r="AB70" s="155"/>
      <c r="AC70" s="156">
        <v>2</v>
      </c>
      <c r="AD70" s="155"/>
      <c r="AE70" s="156"/>
      <c r="AF70" s="79">
        <f t="shared" si="2"/>
        <v>0</v>
      </c>
      <c r="AG70" s="79">
        <f t="shared" si="2"/>
        <v>4</v>
      </c>
      <c r="AH70" s="9"/>
      <c r="AI70" s="96"/>
    </row>
    <row r="71" spans="2:37" ht="25.35" customHeight="1">
      <c r="B71" s="552"/>
      <c r="C71" s="56" t="s">
        <v>75</v>
      </c>
      <c r="D71" s="249"/>
      <c r="E71" s="250"/>
      <c r="F71" s="103"/>
      <c r="G71" s="104"/>
      <c r="H71" s="103"/>
      <c r="I71" s="104"/>
      <c r="J71" s="103"/>
      <c r="K71" s="104"/>
      <c r="L71" s="103"/>
      <c r="M71" s="104"/>
      <c r="N71" s="129"/>
      <c r="O71" s="130"/>
      <c r="P71" s="129"/>
      <c r="Q71" s="130"/>
      <c r="R71" s="129"/>
      <c r="S71" s="130"/>
      <c r="T71" s="129"/>
      <c r="U71" s="130"/>
      <c r="V71" s="129"/>
      <c r="W71" s="130"/>
      <c r="X71" s="155"/>
      <c r="Y71" s="156"/>
      <c r="Z71" s="155"/>
      <c r="AA71" s="156"/>
      <c r="AB71" s="155">
        <v>2</v>
      </c>
      <c r="AC71" s="173"/>
      <c r="AD71" s="155"/>
      <c r="AE71" s="173"/>
      <c r="AF71" s="79">
        <f t="shared" si="2"/>
        <v>4</v>
      </c>
      <c r="AG71" s="79">
        <f t="shared" si="2"/>
        <v>0</v>
      </c>
      <c r="AH71" s="9"/>
      <c r="AI71" s="96"/>
    </row>
    <row r="72" spans="2:37" ht="25.35" customHeight="1">
      <c r="B72" s="552"/>
      <c r="C72" s="43" t="s">
        <v>290</v>
      </c>
      <c r="D72" s="249"/>
      <c r="E72" s="250"/>
      <c r="F72" s="103"/>
      <c r="G72" s="104"/>
      <c r="H72" s="103"/>
      <c r="I72" s="104"/>
      <c r="J72" s="103"/>
      <c r="K72" s="104"/>
      <c r="L72" s="103"/>
      <c r="M72" s="104"/>
      <c r="N72" s="129"/>
      <c r="O72" s="130"/>
      <c r="P72" s="129"/>
      <c r="Q72" s="130"/>
      <c r="R72" s="129"/>
      <c r="S72" s="130"/>
      <c r="T72" s="129"/>
      <c r="U72" s="130"/>
      <c r="V72" s="129"/>
      <c r="W72" s="130"/>
      <c r="X72" s="155"/>
      <c r="Y72" s="156"/>
      <c r="Z72" s="155"/>
      <c r="AA72" s="156"/>
      <c r="AB72" s="155">
        <v>2</v>
      </c>
      <c r="AC72" s="176">
        <v>2</v>
      </c>
      <c r="AD72" s="155"/>
      <c r="AE72" s="156"/>
      <c r="AF72" s="79">
        <f t="shared" si="2"/>
        <v>4</v>
      </c>
      <c r="AG72" s="79">
        <f t="shared" si="2"/>
        <v>4</v>
      </c>
      <c r="AH72" s="9"/>
      <c r="AI72" s="96"/>
    </row>
    <row r="73" spans="2:37" ht="25.35" customHeight="1">
      <c r="B73" s="552"/>
      <c r="C73" s="43" t="s">
        <v>184</v>
      </c>
      <c r="D73" s="229"/>
      <c r="E73" s="230"/>
      <c r="F73" s="103"/>
      <c r="G73" s="104"/>
      <c r="H73" s="103"/>
      <c r="I73" s="104"/>
      <c r="J73" s="103">
        <v>1</v>
      </c>
      <c r="K73" s="104">
        <v>1</v>
      </c>
      <c r="L73" s="103"/>
      <c r="M73" s="104"/>
      <c r="N73" s="129"/>
      <c r="O73" s="130"/>
      <c r="P73" s="129"/>
      <c r="Q73" s="130"/>
      <c r="R73" s="129"/>
      <c r="S73" s="130"/>
      <c r="T73" s="129"/>
      <c r="U73" s="130"/>
      <c r="V73" s="129"/>
      <c r="W73" s="130"/>
      <c r="X73" s="155"/>
      <c r="Y73" s="156"/>
      <c r="Z73" s="155"/>
      <c r="AA73" s="156"/>
      <c r="AB73" s="155"/>
      <c r="AC73" s="156"/>
      <c r="AD73" s="155"/>
      <c r="AE73" s="156"/>
      <c r="AF73" s="79">
        <v>2</v>
      </c>
      <c r="AG73" s="79">
        <v>2</v>
      </c>
      <c r="AH73" s="9"/>
      <c r="AI73" s="96"/>
    </row>
    <row r="74" spans="2:37" ht="25.35" customHeight="1">
      <c r="B74" s="552"/>
      <c r="C74" s="217" t="s">
        <v>195</v>
      </c>
      <c r="D74" s="249"/>
      <c r="E74" s="249"/>
      <c r="F74" s="103"/>
      <c r="G74" s="120"/>
      <c r="H74" s="119"/>
      <c r="I74" s="120"/>
      <c r="J74" s="119"/>
      <c r="K74" s="120"/>
      <c r="L74" s="119"/>
      <c r="M74" s="120"/>
      <c r="N74" s="149"/>
      <c r="O74" s="150"/>
      <c r="P74" s="149"/>
      <c r="Q74" s="150"/>
      <c r="R74" s="149"/>
      <c r="S74" s="150"/>
      <c r="T74" s="220">
        <v>1</v>
      </c>
      <c r="U74" s="221"/>
      <c r="V74" s="220"/>
      <c r="W74" s="221"/>
      <c r="X74" s="175"/>
      <c r="Y74" s="176"/>
      <c r="Z74" s="175"/>
      <c r="AA74" s="176"/>
      <c r="AB74" s="175"/>
      <c r="AC74" s="176"/>
      <c r="AD74" s="175"/>
      <c r="AE74" s="176"/>
      <c r="AF74" s="222">
        <v>1</v>
      </c>
      <c r="AG74" s="222">
        <v>0</v>
      </c>
      <c r="AH74" s="9"/>
      <c r="AI74" s="96"/>
    </row>
    <row r="75" spans="2:37" ht="25.35" customHeight="1">
      <c r="B75" s="552"/>
      <c r="C75" s="217" t="s">
        <v>194</v>
      </c>
      <c r="D75" s="249"/>
      <c r="E75" s="249"/>
      <c r="F75" s="103"/>
      <c r="G75" s="120"/>
      <c r="H75" s="119"/>
      <c r="I75" s="120"/>
      <c r="J75" s="119"/>
      <c r="K75" s="120"/>
      <c r="L75" s="119"/>
      <c r="M75" s="120"/>
      <c r="N75" s="149"/>
      <c r="O75" s="150"/>
      <c r="P75" s="149"/>
      <c r="Q75" s="150"/>
      <c r="R75" s="149"/>
      <c r="S75" s="150"/>
      <c r="T75" s="220">
        <v>1</v>
      </c>
      <c r="U75" s="221"/>
      <c r="V75" s="220"/>
      <c r="W75" s="221"/>
      <c r="X75" s="175"/>
      <c r="Y75" s="176"/>
      <c r="Z75" s="175"/>
      <c r="AA75" s="176"/>
      <c r="AB75" s="175"/>
      <c r="AC75" s="176"/>
      <c r="AD75" s="175"/>
      <c r="AE75" s="176"/>
      <c r="AF75" s="222">
        <v>1</v>
      </c>
      <c r="AG75" s="222">
        <v>0</v>
      </c>
      <c r="AH75" s="9"/>
      <c r="AI75" s="96"/>
    </row>
    <row r="76" spans="2:37" ht="25.35" customHeight="1">
      <c r="B76" s="552"/>
      <c r="C76" s="217" t="s">
        <v>192</v>
      </c>
      <c r="D76" s="249"/>
      <c r="E76" s="249"/>
      <c r="F76" s="103"/>
      <c r="G76" s="120"/>
      <c r="H76" s="119"/>
      <c r="I76" s="120"/>
      <c r="J76" s="119"/>
      <c r="K76" s="120"/>
      <c r="L76" s="119"/>
      <c r="M76" s="120"/>
      <c r="N76" s="149"/>
      <c r="O76" s="150"/>
      <c r="P76" s="149"/>
      <c r="Q76" s="150"/>
      <c r="R76" s="149"/>
      <c r="S76" s="150"/>
      <c r="T76" s="220"/>
      <c r="U76" s="221">
        <v>1</v>
      </c>
      <c r="V76" s="220"/>
      <c r="W76" s="221"/>
      <c r="X76" s="175"/>
      <c r="Y76" s="176"/>
      <c r="Z76" s="175"/>
      <c r="AA76" s="176"/>
      <c r="AB76" s="175"/>
      <c r="AC76" s="176"/>
      <c r="AD76" s="175"/>
      <c r="AE76" s="176"/>
      <c r="AF76" s="222">
        <v>0</v>
      </c>
      <c r="AG76" s="222">
        <v>1</v>
      </c>
      <c r="AH76" s="9"/>
      <c r="AI76" s="96"/>
    </row>
    <row r="77" spans="2:37" ht="25.35" customHeight="1">
      <c r="B77" s="552"/>
      <c r="C77" s="217" t="s">
        <v>193</v>
      </c>
      <c r="D77" s="249"/>
      <c r="E77" s="249"/>
      <c r="F77" s="103"/>
      <c r="G77" s="120"/>
      <c r="H77" s="119"/>
      <c r="I77" s="120"/>
      <c r="J77" s="119"/>
      <c r="K77" s="120"/>
      <c r="L77" s="119"/>
      <c r="M77" s="120"/>
      <c r="N77" s="149"/>
      <c r="O77" s="150"/>
      <c r="P77" s="149"/>
      <c r="Q77" s="150"/>
      <c r="R77" s="149"/>
      <c r="S77" s="150"/>
      <c r="T77" s="220"/>
      <c r="U77" s="221">
        <v>1</v>
      </c>
      <c r="V77" s="220"/>
      <c r="W77" s="221"/>
      <c r="X77" s="175"/>
      <c r="Y77" s="176"/>
      <c r="Z77" s="175"/>
      <c r="AA77" s="176"/>
      <c r="AB77" s="175"/>
      <c r="AC77" s="176"/>
      <c r="AD77" s="175"/>
      <c r="AE77" s="176"/>
      <c r="AF77" s="222">
        <v>0</v>
      </c>
      <c r="AG77" s="222">
        <v>1</v>
      </c>
      <c r="AH77" s="9"/>
      <c r="AI77" s="96"/>
    </row>
    <row r="78" spans="2:37" ht="25.35" customHeight="1">
      <c r="B78" s="552"/>
      <c r="C78" s="217" t="s">
        <v>209</v>
      </c>
      <c r="D78" s="249"/>
      <c r="E78" s="249"/>
      <c r="F78" s="103"/>
      <c r="G78" s="120"/>
      <c r="H78" s="119"/>
      <c r="I78" s="120"/>
      <c r="J78" s="119"/>
      <c r="K78" s="120"/>
      <c r="L78" s="119"/>
      <c r="M78" s="120"/>
      <c r="N78" s="149"/>
      <c r="O78" s="150"/>
      <c r="P78" s="149">
        <v>2</v>
      </c>
      <c r="Q78" s="150"/>
      <c r="R78" s="149">
        <v>2</v>
      </c>
      <c r="S78" s="150"/>
      <c r="T78" s="220">
        <v>2</v>
      </c>
      <c r="U78" s="221"/>
      <c r="V78" s="220">
        <v>2</v>
      </c>
      <c r="W78" s="221"/>
      <c r="X78" s="175"/>
      <c r="Y78" s="176"/>
      <c r="Z78" s="175"/>
      <c r="AA78" s="176"/>
      <c r="AB78" s="175"/>
      <c r="AC78" s="176"/>
      <c r="AD78" s="175"/>
      <c r="AE78" s="176"/>
      <c r="AF78" s="222">
        <v>2</v>
      </c>
      <c r="AG78" s="222">
        <v>0</v>
      </c>
      <c r="AH78" s="9"/>
      <c r="AI78" s="96"/>
    </row>
    <row r="79" spans="2:37" ht="25.35" customHeight="1">
      <c r="B79" s="552"/>
      <c r="C79" s="217" t="s">
        <v>208</v>
      </c>
      <c r="D79" s="249"/>
      <c r="E79" s="249"/>
      <c r="F79" s="103"/>
      <c r="G79" s="120"/>
      <c r="H79" s="119"/>
      <c r="I79" s="120"/>
      <c r="J79" s="119"/>
      <c r="K79" s="120"/>
      <c r="L79" s="119"/>
      <c r="M79" s="120"/>
      <c r="N79" s="149"/>
      <c r="O79" s="150"/>
      <c r="P79" s="149">
        <v>2</v>
      </c>
      <c r="Q79" s="150"/>
      <c r="R79" s="149">
        <v>2</v>
      </c>
      <c r="S79" s="150"/>
      <c r="T79" s="220">
        <v>2</v>
      </c>
      <c r="U79" s="221"/>
      <c r="V79" s="220">
        <v>2</v>
      </c>
      <c r="W79" s="221"/>
      <c r="X79" s="175"/>
      <c r="Y79" s="176"/>
      <c r="Z79" s="175"/>
      <c r="AA79" s="176"/>
      <c r="AB79" s="175"/>
      <c r="AC79" s="176"/>
      <c r="AD79" s="175"/>
      <c r="AE79" s="176"/>
      <c r="AF79" s="222">
        <v>2</v>
      </c>
      <c r="AG79" s="222">
        <v>0</v>
      </c>
      <c r="AH79" s="9"/>
      <c r="AI79" s="96"/>
    </row>
    <row r="80" spans="2:37" ht="25.35" customHeight="1">
      <c r="B80" s="552"/>
      <c r="C80" s="217" t="s">
        <v>197</v>
      </c>
      <c r="D80" s="249"/>
      <c r="E80" s="249"/>
      <c r="F80" s="103"/>
      <c r="G80" s="120"/>
      <c r="H80" s="119"/>
      <c r="I80" s="120"/>
      <c r="J80" s="119"/>
      <c r="K80" s="120"/>
      <c r="L80" s="119"/>
      <c r="M80" s="120"/>
      <c r="N80" s="149"/>
      <c r="O80" s="150"/>
      <c r="P80" s="149"/>
      <c r="Q80" s="150"/>
      <c r="R80" s="149"/>
      <c r="S80" s="150"/>
      <c r="T80" s="220"/>
      <c r="U80" s="221">
        <v>2</v>
      </c>
      <c r="V80" s="220"/>
      <c r="W80" s="221"/>
      <c r="X80" s="175"/>
      <c r="Y80" s="176"/>
      <c r="Z80" s="175"/>
      <c r="AA80" s="176"/>
      <c r="AB80" s="175"/>
      <c r="AC80" s="176"/>
      <c r="AD80" s="175"/>
      <c r="AE80" s="176"/>
      <c r="AF80" s="222">
        <v>0</v>
      </c>
      <c r="AG80" s="222">
        <v>2</v>
      </c>
      <c r="AH80" s="9"/>
      <c r="AI80" s="96"/>
    </row>
    <row r="81" spans="2:37" s="202" customFormat="1" ht="25.35" customHeight="1" thickBot="1">
      <c r="B81" s="552"/>
      <c r="C81" s="217" t="s">
        <v>196</v>
      </c>
      <c r="D81" s="249"/>
      <c r="E81" s="249"/>
      <c r="F81" s="103"/>
      <c r="G81" s="120"/>
      <c r="H81" s="119"/>
      <c r="I81" s="120"/>
      <c r="J81" s="119"/>
      <c r="K81" s="120"/>
      <c r="L81" s="119"/>
      <c r="M81" s="120"/>
      <c r="N81" s="149"/>
      <c r="O81" s="150"/>
      <c r="P81" s="149"/>
      <c r="Q81" s="150"/>
      <c r="R81" s="149"/>
      <c r="S81" s="150"/>
      <c r="T81" s="220"/>
      <c r="U81" s="221">
        <v>2</v>
      </c>
      <c r="V81" s="220"/>
      <c r="W81" s="221"/>
      <c r="X81" s="175"/>
      <c r="Y81" s="176"/>
      <c r="Z81" s="175"/>
      <c r="AA81" s="176"/>
      <c r="AB81" s="175"/>
      <c r="AC81" s="176"/>
      <c r="AD81" s="175"/>
      <c r="AE81" s="176"/>
      <c r="AF81" s="222">
        <v>0</v>
      </c>
      <c r="AG81" s="222">
        <v>2</v>
      </c>
      <c r="AH81" s="203"/>
      <c r="AI81" s="204"/>
      <c r="AK81" s="225"/>
    </row>
    <row r="82" spans="2:37" ht="25.35" customHeight="1" thickTop="1">
      <c r="B82" s="550" t="s">
        <v>22</v>
      </c>
      <c r="C82" s="59" t="s">
        <v>56</v>
      </c>
      <c r="D82" s="101">
        <v>1</v>
      </c>
      <c r="E82" s="102">
        <v>1</v>
      </c>
      <c r="F82" s="101">
        <v>1</v>
      </c>
      <c r="G82" s="102">
        <v>1</v>
      </c>
      <c r="H82" s="101">
        <v>1</v>
      </c>
      <c r="I82" s="102">
        <v>1</v>
      </c>
      <c r="J82" s="101">
        <v>1</v>
      </c>
      <c r="K82" s="102">
        <v>1</v>
      </c>
      <c r="L82" s="101">
        <v>1</v>
      </c>
      <c r="M82" s="102">
        <v>1</v>
      </c>
      <c r="N82" s="128"/>
      <c r="O82" s="139"/>
      <c r="P82" s="128"/>
      <c r="Q82" s="139"/>
      <c r="R82" s="128"/>
      <c r="S82" s="139"/>
      <c r="T82" s="128"/>
      <c r="U82" s="139"/>
      <c r="V82" s="128"/>
      <c r="W82" s="139"/>
      <c r="X82" s="153"/>
      <c r="Y82" s="154"/>
      <c r="Z82" s="153"/>
      <c r="AA82" s="154"/>
      <c r="AB82" s="153"/>
      <c r="AC82" s="154"/>
      <c r="AD82" s="153"/>
      <c r="AE82" s="154"/>
      <c r="AF82" s="75">
        <f>F82*2+H82*2+J82*2+L82*2+P82*3+R82*2+T82*2+V82*2+X82*3+Z82*2+AB82*2+AD82*2+D82</f>
        <v>9</v>
      </c>
      <c r="AG82" s="75">
        <f>G82*2+I82*2+K82*2+M82*2+Q82*3+S82*2+U82*2+W82*2+Y82*3+AA82*2+AC82*2+AE82*2+E82</f>
        <v>9</v>
      </c>
      <c r="AH82" s="5">
        <f>SUM(AF82:AF103)</f>
        <v>120</v>
      </c>
      <c r="AI82" s="5">
        <f>SUM(AG82:AG103)</f>
        <v>115</v>
      </c>
    </row>
    <row r="83" spans="2:37" ht="25.35" customHeight="1">
      <c r="B83" s="551"/>
      <c r="C83" s="55" t="s">
        <v>57</v>
      </c>
      <c r="D83" s="231"/>
      <c r="E83" s="232"/>
      <c r="F83" s="115">
        <v>2</v>
      </c>
      <c r="G83" s="116">
        <v>2</v>
      </c>
      <c r="H83" s="115">
        <v>2</v>
      </c>
      <c r="I83" s="116">
        <v>2</v>
      </c>
      <c r="J83" s="115">
        <v>2</v>
      </c>
      <c r="K83" s="116">
        <v>2</v>
      </c>
      <c r="L83" s="115">
        <v>2</v>
      </c>
      <c r="M83" s="116">
        <v>2</v>
      </c>
      <c r="N83" s="129"/>
      <c r="O83" s="130"/>
      <c r="P83" s="129"/>
      <c r="Q83" s="130"/>
      <c r="R83" s="129"/>
      <c r="S83" s="130"/>
      <c r="T83" s="129"/>
      <c r="U83" s="130"/>
      <c r="V83" s="129"/>
      <c r="W83" s="130"/>
      <c r="X83" s="167"/>
      <c r="Y83" s="168"/>
      <c r="Z83" s="167"/>
      <c r="AA83" s="168"/>
      <c r="AB83" s="167"/>
      <c r="AC83" s="168"/>
      <c r="AD83" s="167"/>
      <c r="AE83" s="168"/>
      <c r="AF83" s="79">
        <f>F83*2+H83*2+J83*2+L83*2+P83*3+R83*2+T83*2+V83*2+X83*3+Z83*2+AB83*2+AD83*2</f>
        <v>16</v>
      </c>
      <c r="AG83" s="79">
        <f>G83*2+I83*2+K83*2+M83*2+Q83*3+S83*2+U83*2+W83*2+Y83*3+AA83*2+AC83*2+AE83*2</f>
        <v>16</v>
      </c>
      <c r="AH83" s="8"/>
      <c r="AI83" s="8"/>
      <c r="AK83" s="224"/>
    </row>
    <row r="84" spans="2:37" ht="25.35" customHeight="1">
      <c r="B84" s="551"/>
      <c r="C84" s="55" t="s">
        <v>72</v>
      </c>
      <c r="D84" s="231"/>
      <c r="E84" s="232"/>
      <c r="F84" s="103"/>
      <c r="G84" s="104"/>
      <c r="H84" s="103"/>
      <c r="I84" s="104"/>
      <c r="J84" s="103"/>
      <c r="K84" s="104"/>
      <c r="L84" s="103"/>
      <c r="M84" s="104"/>
      <c r="N84" s="129"/>
      <c r="O84" s="130"/>
      <c r="P84" s="129">
        <v>2</v>
      </c>
      <c r="Q84" s="130">
        <v>2</v>
      </c>
      <c r="R84" s="129">
        <v>2</v>
      </c>
      <c r="S84" s="130">
        <v>2</v>
      </c>
      <c r="T84" s="129">
        <v>2</v>
      </c>
      <c r="U84" s="130">
        <v>2</v>
      </c>
      <c r="V84" s="129">
        <v>2</v>
      </c>
      <c r="W84" s="130">
        <v>2</v>
      </c>
      <c r="X84" s="155"/>
      <c r="Y84" s="156"/>
      <c r="Z84" s="155"/>
      <c r="AA84" s="156"/>
      <c r="AB84" s="155"/>
      <c r="AC84" s="156"/>
      <c r="AD84" s="155"/>
      <c r="AE84" s="156"/>
      <c r="AF84" s="79">
        <f>F84*3+H84*2+J84*2+L84*2+P84*2+R84*2+T84*2+V84*2+X84*3+Z84*2+AB84*2+AD84*2</f>
        <v>16</v>
      </c>
      <c r="AG84" s="79">
        <f>G84*3+I84*2+K84*2+M84*2+Q84*2+S84*2+U84*2+W84*2+Y84*3+AA84*2+AC84*2+AE84*2</f>
        <v>16</v>
      </c>
      <c r="AH84" s="8"/>
      <c r="AI84" s="8"/>
      <c r="AK84" s="224"/>
    </row>
    <row r="85" spans="2:37" ht="25.35" customHeight="1">
      <c r="B85" s="551"/>
      <c r="C85" s="55" t="s">
        <v>156</v>
      </c>
      <c r="D85" s="231"/>
      <c r="E85" s="232"/>
      <c r="F85" s="119"/>
      <c r="G85" s="120"/>
      <c r="H85" s="103"/>
      <c r="I85" s="104"/>
      <c r="J85" s="103"/>
      <c r="K85" s="104"/>
      <c r="L85" s="103"/>
      <c r="M85" s="104"/>
      <c r="N85" s="129"/>
      <c r="O85" s="130"/>
      <c r="P85" s="129"/>
      <c r="Q85" s="130"/>
      <c r="R85" s="129"/>
      <c r="S85" s="130"/>
      <c r="T85" s="129"/>
      <c r="U85" s="130"/>
      <c r="V85" s="129"/>
      <c r="W85" s="130"/>
      <c r="X85" s="155">
        <v>4</v>
      </c>
      <c r="Y85" s="156">
        <v>4</v>
      </c>
      <c r="Z85" s="155">
        <v>3</v>
      </c>
      <c r="AA85" s="156">
        <v>3</v>
      </c>
      <c r="AB85" s="155">
        <v>3</v>
      </c>
      <c r="AC85" s="156">
        <v>3</v>
      </c>
      <c r="AD85" s="155">
        <v>3</v>
      </c>
      <c r="AE85" s="156">
        <v>3</v>
      </c>
      <c r="AF85" s="79">
        <f>X85*3+Z85*2+AB85*2+AD85*2</f>
        <v>30</v>
      </c>
      <c r="AG85" s="79">
        <f>Y85*3+AA85*2+AC85*2+AE85*2</f>
        <v>30</v>
      </c>
      <c r="AH85" s="8"/>
      <c r="AI85" s="8"/>
      <c r="AK85" s="224"/>
    </row>
    <row r="86" spans="2:37" ht="25.35" customHeight="1">
      <c r="B86" s="551"/>
      <c r="C86" s="55" t="s">
        <v>66</v>
      </c>
      <c r="D86" s="231"/>
      <c r="E86" s="232"/>
      <c r="F86" s="103">
        <v>2</v>
      </c>
      <c r="G86" s="104">
        <v>2</v>
      </c>
      <c r="H86" s="103"/>
      <c r="I86" s="104"/>
      <c r="J86" s="103"/>
      <c r="K86" s="104"/>
      <c r="L86" s="103"/>
      <c r="M86" s="104"/>
      <c r="N86" s="129"/>
      <c r="O86" s="130"/>
      <c r="P86" s="129"/>
      <c r="Q86" s="130"/>
      <c r="R86" s="129"/>
      <c r="S86" s="130"/>
      <c r="T86" s="129"/>
      <c r="U86" s="130"/>
      <c r="V86" s="129"/>
      <c r="W86" s="130"/>
      <c r="X86" s="155"/>
      <c r="Y86" s="156"/>
      <c r="Z86" s="155"/>
      <c r="AA86" s="156"/>
      <c r="AB86" s="155"/>
      <c r="AC86" s="156"/>
      <c r="AD86" s="155"/>
      <c r="AE86" s="156"/>
      <c r="AF86" s="79">
        <f>F86*2+H86*2+J86*2+L86*2+P86*3+R86*2+T86*2+V86*2+X86*3+Z86*2+AB86*2+AD86*2</f>
        <v>4</v>
      </c>
      <c r="AG86" s="79">
        <f>G86*2+I86*2+K86*2+M86*2+Q86*3+S86*2+U86*2+W86*2+Y86*3+AA86*2+AC86*2+AE86*2</f>
        <v>4</v>
      </c>
      <c r="AH86" s="8"/>
      <c r="AI86" s="8"/>
    </row>
    <row r="87" spans="2:37" ht="25.35" customHeight="1">
      <c r="B87" s="551"/>
      <c r="C87" s="55" t="s">
        <v>117</v>
      </c>
      <c r="D87" s="231"/>
      <c r="E87" s="232"/>
      <c r="F87" s="103"/>
      <c r="G87" s="104"/>
      <c r="H87" s="103"/>
      <c r="I87" s="104"/>
      <c r="J87" s="103"/>
      <c r="K87" s="104"/>
      <c r="L87" s="103"/>
      <c r="M87" s="104"/>
      <c r="N87" s="129"/>
      <c r="O87" s="130"/>
      <c r="P87" s="129">
        <v>3</v>
      </c>
      <c r="Q87" s="130">
        <v>3</v>
      </c>
      <c r="R87" s="129"/>
      <c r="S87" s="130"/>
      <c r="T87" s="129"/>
      <c r="U87" s="130"/>
      <c r="V87" s="129"/>
      <c r="W87" s="130"/>
      <c r="X87" s="155"/>
      <c r="Y87" s="156"/>
      <c r="Z87" s="155"/>
      <c r="AA87" s="156"/>
      <c r="AB87" s="155"/>
      <c r="AC87" s="156"/>
      <c r="AD87" s="155"/>
      <c r="AE87" s="156"/>
      <c r="AF87" s="79">
        <f>P87*2</f>
        <v>6</v>
      </c>
      <c r="AG87" s="79">
        <f>Q87*2</f>
        <v>6</v>
      </c>
      <c r="AH87" s="8"/>
      <c r="AI87" s="8"/>
    </row>
    <row r="88" spans="2:37" ht="25.35" customHeight="1">
      <c r="B88" s="551"/>
      <c r="C88" s="43" t="s">
        <v>95</v>
      </c>
      <c r="D88" s="229"/>
      <c r="E88" s="230"/>
      <c r="F88" s="103"/>
      <c r="G88" s="104"/>
      <c r="H88" s="103"/>
      <c r="I88" s="104"/>
      <c r="J88" s="103"/>
      <c r="K88" s="104"/>
      <c r="L88" s="103"/>
      <c r="M88" s="104"/>
      <c r="N88" s="129"/>
      <c r="O88" s="130"/>
      <c r="P88" s="129"/>
      <c r="Q88" s="130"/>
      <c r="R88" s="129"/>
      <c r="S88" s="130"/>
      <c r="T88" s="129"/>
      <c r="U88" s="130"/>
      <c r="V88" s="129"/>
      <c r="W88" s="130"/>
      <c r="X88" s="155">
        <v>2</v>
      </c>
      <c r="Y88" s="156">
        <v>2</v>
      </c>
      <c r="Z88" s="155"/>
      <c r="AA88" s="156"/>
      <c r="AB88" s="155"/>
      <c r="AC88" s="156"/>
      <c r="AD88" s="155"/>
      <c r="AE88" s="156"/>
      <c r="AF88" s="79">
        <f>F88*3+H88*2+J88*2+L88*2+P88*3+R88*2+T88*2+V88*2+X88*3+Z88*2+AB88*2+AD88*2</f>
        <v>6</v>
      </c>
      <c r="AG88" s="79">
        <f>G88*3+I88*2+K88*2+M88*2+Q88*3+S88*2+U88*2+W88*2+Y88*3+AA88*2+AC88*2+AE88*2</f>
        <v>6</v>
      </c>
      <c r="AH88" s="8"/>
      <c r="AI88" s="8"/>
    </row>
    <row r="89" spans="2:37" ht="25.35" customHeight="1">
      <c r="B89" s="551"/>
      <c r="C89" s="43" t="s">
        <v>185</v>
      </c>
      <c r="D89" s="229"/>
      <c r="E89" s="230"/>
      <c r="F89" s="103"/>
      <c r="G89" s="104"/>
      <c r="H89" s="103"/>
      <c r="I89" s="104"/>
      <c r="J89" s="103"/>
      <c r="K89" s="104"/>
      <c r="L89" s="103"/>
      <c r="M89" s="104"/>
      <c r="N89" s="129"/>
      <c r="O89" s="130"/>
      <c r="P89" s="129"/>
      <c r="Q89" s="130">
        <v>2</v>
      </c>
      <c r="R89" s="129"/>
      <c r="S89" s="130"/>
      <c r="T89" s="129"/>
      <c r="U89" s="130"/>
      <c r="V89" s="129"/>
      <c r="W89" s="130"/>
      <c r="X89" s="155">
        <v>2</v>
      </c>
      <c r="Y89" s="156"/>
      <c r="Z89" s="155"/>
      <c r="AA89" s="156"/>
      <c r="AB89" s="155"/>
      <c r="AC89" s="156"/>
      <c r="AD89" s="155"/>
      <c r="AE89" s="156"/>
      <c r="AF89" s="79">
        <f>F89*3+H89*2+J89*2+L89*2+P89*3+R89*2+T89*2+V89*2+X89*3+Z89*2+AB89*2+AD89*2</f>
        <v>6</v>
      </c>
      <c r="AG89" s="79">
        <f>G89*3+I89*2+K89*2+M89*2+Q89*2+S89*2+U89*2+W89*2+Y89*3+AA89*2+AC89*2+AE89*2</f>
        <v>4</v>
      </c>
      <c r="AH89" s="8"/>
      <c r="AI89" s="8"/>
    </row>
    <row r="90" spans="2:37" ht="25.35" customHeight="1">
      <c r="B90" s="551"/>
      <c r="C90" s="55" t="s">
        <v>105</v>
      </c>
      <c r="D90" s="231"/>
      <c r="E90" s="232"/>
      <c r="F90" s="115">
        <v>1</v>
      </c>
      <c r="G90" s="116">
        <v>1</v>
      </c>
      <c r="H90" s="115"/>
      <c r="I90" s="116"/>
      <c r="J90" s="115"/>
      <c r="K90" s="116"/>
      <c r="L90" s="115"/>
      <c r="M90" s="116"/>
      <c r="N90" s="140"/>
      <c r="O90" s="141"/>
      <c r="P90" s="140"/>
      <c r="Q90" s="141"/>
      <c r="R90" s="140"/>
      <c r="S90" s="141"/>
      <c r="T90" s="140"/>
      <c r="U90" s="141"/>
      <c r="V90" s="140"/>
      <c r="W90" s="141"/>
      <c r="X90" s="167"/>
      <c r="Y90" s="168"/>
      <c r="Z90" s="167"/>
      <c r="AA90" s="168"/>
      <c r="AB90" s="167"/>
      <c r="AC90" s="168"/>
      <c r="AD90" s="167"/>
      <c r="AE90" s="168"/>
      <c r="AF90" s="83">
        <f>F90*2</f>
        <v>2</v>
      </c>
      <c r="AG90" s="83">
        <f>G90*2</f>
        <v>2</v>
      </c>
      <c r="AH90" s="8"/>
      <c r="AI90" s="8"/>
    </row>
    <row r="91" spans="2:37" ht="25.35" customHeight="1">
      <c r="B91" s="552"/>
      <c r="C91" s="55" t="s">
        <v>63</v>
      </c>
      <c r="D91" s="231"/>
      <c r="E91" s="232"/>
      <c r="F91" s="218">
        <v>2</v>
      </c>
      <c r="G91" s="219">
        <v>2</v>
      </c>
      <c r="H91" s="218"/>
      <c r="I91" s="104"/>
      <c r="J91" s="103"/>
      <c r="K91" s="104"/>
      <c r="L91" s="103"/>
      <c r="M91" s="104"/>
      <c r="N91" s="129"/>
      <c r="O91" s="130"/>
      <c r="P91" s="129"/>
      <c r="Q91" s="130"/>
      <c r="R91" s="129"/>
      <c r="S91" s="130"/>
      <c r="T91" s="129"/>
      <c r="U91" s="130"/>
      <c r="V91" s="129"/>
      <c r="W91" s="130"/>
      <c r="X91" s="155"/>
      <c r="Y91" s="156"/>
      <c r="Z91" s="155"/>
      <c r="AA91" s="156"/>
      <c r="AB91" s="155"/>
      <c r="AC91" s="156"/>
      <c r="AD91" s="155"/>
      <c r="AE91" s="156"/>
      <c r="AF91" s="79">
        <f>F91*2+H91*2+J91*2+L91*2+P91*3+R91*2+T91*2+V91*2+X91*3+Z91*2+AB91*2+AD91*2</f>
        <v>4</v>
      </c>
      <c r="AG91" s="79">
        <f>G91*2+I91*2+K91*2+M91*2+Q91*3+S91*2+U91*2+W91*2+Y91*3+AA91*2+AC91*2+AE91*2</f>
        <v>4</v>
      </c>
      <c r="AH91" s="96"/>
      <c r="AI91" s="96"/>
    </row>
    <row r="92" spans="2:37" ht="25.35" customHeight="1">
      <c r="B92" s="552"/>
      <c r="C92" s="55" t="s">
        <v>91</v>
      </c>
      <c r="D92" s="231"/>
      <c r="E92" s="232"/>
      <c r="F92" s="218"/>
      <c r="G92" s="219"/>
      <c r="H92" s="218"/>
      <c r="I92" s="104"/>
      <c r="J92" s="103"/>
      <c r="K92" s="104"/>
      <c r="L92" s="103">
        <v>2</v>
      </c>
      <c r="M92" s="104">
        <v>2</v>
      </c>
      <c r="N92" s="129"/>
      <c r="O92" s="130"/>
      <c r="P92" s="129"/>
      <c r="Q92" s="130"/>
      <c r="R92" s="129"/>
      <c r="S92" s="130"/>
      <c r="T92" s="129"/>
      <c r="U92" s="130"/>
      <c r="V92" s="129"/>
      <c r="W92" s="130"/>
      <c r="X92" s="155"/>
      <c r="Y92" s="156"/>
      <c r="Z92" s="155"/>
      <c r="AA92" s="156"/>
      <c r="AB92" s="155"/>
      <c r="AC92" s="156"/>
      <c r="AD92" s="155"/>
      <c r="AE92" s="156"/>
      <c r="AF92" s="79">
        <f>L92*2</f>
        <v>4</v>
      </c>
      <c r="AG92" s="79">
        <f>M92*2</f>
        <v>4</v>
      </c>
      <c r="AH92" s="96"/>
      <c r="AI92" s="96"/>
    </row>
    <row r="93" spans="2:37" ht="25.35" customHeight="1">
      <c r="B93" s="552"/>
      <c r="C93" s="55" t="s">
        <v>337</v>
      </c>
      <c r="D93" s="231"/>
      <c r="E93" s="232"/>
      <c r="F93" s="218"/>
      <c r="G93" s="219"/>
      <c r="H93" s="218"/>
      <c r="I93" s="104"/>
      <c r="J93" s="103"/>
      <c r="K93" s="104"/>
      <c r="L93" s="103"/>
      <c r="M93" s="104"/>
      <c r="N93" s="129">
        <v>3</v>
      </c>
      <c r="O93" s="130"/>
      <c r="P93" s="129"/>
      <c r="Q93" s="130"/>
      <c r="R93" s="129"/>
      <c r="S93" s="130"/>
      <c r="T93" s="129"/>
      <c r="U93" s="130"/>
      <c r="V93" s="129"/>
      <c r="W93" s="130"/>
      <c r="X93" s="155"/>
      <c r="Y93" s="156"/>
      <c r="Z93" s="155"/>
      <c r="AA93" s="156"/>
      <c r="AB93" s="155"/>
      <c r="AC93" s="156"/>
      <c r="AD93" s="155"/>
      <c r="AE93" s="156"/>
      <c r="AF93" s="79">
        <v>3</v>
      </c>
      <c r="AG93" s="79">
        <v>0</v>
      </c>
      <c r="AH93" s="96"/>
      <c r="AI93" s="96"/>
    </row>
    <row r="94" spans="2:37" ht="25.35" customHeight="1">
      <c r="B94" s="552"/>
      <c r="C94" s="43" t="s">
        <v>96</v>
      </c>
      <c r="D94" s="229"/>
      <c r="E94" s="230"/>
      <c r="F94" s="103"/>
      <c r="G94" s="104"/>
      <c r="H94" s="103"/>
      <c r="I94" s="104"/>
      <c r="J94" s="103"/>
      <c r="K94" s="104"/>
      <c r="L94" s="103"/>
      <c r="M94" s="104"/>
      <c r="N94" s="129"/>
      <c r="O94" s="130"/>
      <c r="P94" s="129">
        <v>1</v>
      </c>
      <c r="Q94" s="130">
        <v>1</v>
      </c>
      <c r="R94" s="129"/>
      <c r="S94" s="130"/>
      <c r="T94" s="129"/>
      <c r="U94" s="130"/>
      <c r="V94" s="129"/>
      <c r="W94" s="130"/>
      <c r="X94" s="155"/>
      <c r="Y94" s="156">
        <v>2</v>
      </c>
      <c r="Z94" s="155"/>
      <c r="AA94" s="156"/>
      <c r="AB94" s="155"/>
      <c r="AC94" s="156"/>
      <c r="AD94" s="155"/>
      <c r="AE94" s="156"/>
      <c r="AF94" s="79">
        <f>P94*2</f>
        <v>2</v>
      </c>
      <c r="AG94" s="79">
        <f>Y94*3+Q94*2</f>
        <v>8</v>
      </c>
      <c r="AH94" s="96"/>
      <c r="AI94" s="96"/>
    </row>
    <row r="95" spans="2:37" ht="25.35" customHeight="1">
      <c r="B95" s="552"/>
      <c r="C95" s="217" t="s">
        <v>213</v>
      </c>
      <c r="D95" s="229"/>
      <c r="E95" s="229"/>
      <c r="F95" s="115"/>
      <c r="G95" s="116"/>
      <c r="H95" s="115"/>
      <c r="I95" s="116"/>
      <c r="J95" s="115"/>
      <c r="K95" s="116"/>
      <c r="L95" s="115"/>
      <c r="M95" s="116"/>
      <c r="N95" s="129"/>
      <c r="O95" s="141"/>
      <c r="P95" s="129">
        <v>2</v>
      </c>
      <c r="Q95" s="141"/>
      <c r="R95" s="140"/>
      <c r="S95" s="141"/>
      <c r="T95" s="140"/>
      <c r="U95" s="141"/>
      <c r="V95" s="140"/>
      <c r="W95" s="141"/>
      <c r="X95" s="155"/>
      <c r="Y95" s="156"/>
      <c r="Z95" s="155"/>
      <c r="AA95" s="156"/>
      <c r="AB95" s="155"/>
      <c r="AC95" s="156"/>
      <c r="AD95" s="155"/>
      <c r="AE95" s="156"/>
      <c r="AF95" s="79">
        <v>2</v>
      </c>
      <c r="AG95" s="79">
        <f>G95*3+I95*2+K95*2+M95*2+Q95*3+S95*2+U95*2+W95*2+Y95*3+AA95*2+AC95*2+AE95*2</f>
        <v>0</v>
      </c>
      <c r="AH95" s="96"/>
      <c r="AI95" s="96"/>
    </row>
    <row r="96" spans="2:37" ht="25.35" customHeight="1">
      <c r="B96" s="552"/>
      <c r="C96" s="217" t="s">
        <v>212</v>
      </c>
      <c r="D96" s="229"/>
      <c r="E96" s="229"/>
      <c r="F96" s="115"/>
      <c r="G96" s="116"/>
      <c r="H96" s="115"/>
      <c r="I96" s="116"/>
      <c r="J96" s="115"/>
      <c r="K96" s="116"/>
      <c r="L96" s="115"/>
      <c r="M96" s="116"/>
      <c r="N96" s="129"/>
      <c r="O96" s="141"/>
      <c r="P96" s="129">
        <v>2</v>
      </c>
      <c r="Q96" s="141"/>
      <c r="R96" s="140"/>
      <c r="S96" s="141"/>
      <c r="T96" s="140"/>
      <c r="U96" s="141"/>
      <c r="V96" s="140"/>
      <c r="W96" s="141"/>
      <c r="X96" s="155"/>
      <c r="Y96" s="156"/>
      <c r="Z96" s="155"/>
      <c r="AA96" s="156"/>
      <c r="AB96" s="155"/>
      <c r="AC96" s="156"/>
      <c r="AD96" s="155"/>
      <c r="AE96" s="156"/>
      <c r="AF96" s="79">
        <v>2</v>
      </c>
      <c r="AG96" s="79">
        <v>0</v>
      </c>
      <c r="AH96" s="96"/>
      <c r="AI96" s="96"/>
    </row>
    <row r="97" spans="2:35" ht="25.35" customHeight="1">
      <c r="B97" s="552"/>
      <c r="C97" s="217" t="s">
        <v>214</v>
      </c>
      <c r="D97" s="229"/>
      <c r="E97" s="229"/>
      <c r="F97" s="109"/>
      <c r="G97" s="110"/>
      <c r="H97" s="109"/>
      <c r="I97" s="110"/>
      <c r="J97" s="109"/>
      <c r="K97" s="110"/>
      <c r="L97" s="109"/>
      <c r="M97" s="110"/>
      <c r="N97" s="135"/>
      <c r="O97" s="144"/>
      <c r="P97" s="135">
        <v>2</v>
      </c>
      <c r="Q97" s="144"/>
      <c r="R97" s="135"/>
      <c r="S97" s="136"/>
      <c r="T97" s="135"/>
      <c r="U97" s="136"/>
      <c r="V97" s="135"/>
      <c r="W97" s="136"/>
      <c r="X97" s="161"/>
      <c r="Y97" s="162"/>
      <c r="Z97" s="161"/>
      <c r="AA97" s="162"/>
      <c r="AB97" s="161"/>
      <c r="AC97" s="162"/>
      <c r="AD97" s="161"/>
      <c r="AE97" s="162"/>
      <c r="AF97" s="79">
        <v>2</v>
      </c>
      <c r="AG97" s="79">
        <v>0</v>
      </c>
      <c r="AH97" s="96"/>
      <c r="AI97" s="96"/>
    </row>
    <row r="98" spans="2:35" ht="25.35" customHeight="1">
      <c r="B98" s="552"/>
      <c r="C98" s="217" t="s">
        <v>215</v>
      </c>
      <c r="D98" s="229"/>
      <c r="E98" s="229"/>
      <c r="F98" s="109"/>
      <c r="G98" s="110"/>
      <c r="H98" s="109"/>
      <c r="I98" s="110"/>
      <c r="J98" s="109"/>
      <c r="K98" s="110"/>
      <c r="L98" s="109"/>
      <c r="M98" s="110"/>
      <c r="N98" s="135"/>
      <c r="O98" s="130"/>
      <c r="P98" s="135"/>
      <c r="Q98" s="130">
        <v>2</v>
      </c>
      <c r="R98" s="135"/>
      <c r="S98" s="136"/>
      <c r="T98" s="135"/>
      <c r="U98" s="136"/>
      <c r="V98" s="135"/>
      <c r="W98" s="136"/>
      <c r="X98" s="161"/>
      <c r="Y98" s="162"/>
      <c r="Z98" s="161"/>
      <c r="AA98" s="162"/>
      <c r="AB98" s="161"/>
      <c r="AC98" s="162"/>
      <c r="AD98" s="161"/>
      <c r="AE98" s="162"/>
      <c r="AF98" s="79">
        <f>F98*3+H98*2+J98*2+L98*2+P98*3+R98*2+T98*2+V98*2+X98*3+Z98*2+AB98*2+AD98*2</f>
        <v>0</v>
      </c>
      <c r="AG98" s="79">
        <v>2</v>
      </c>
      <c r="AH98" s="96"/>
      <c r="AI98" s="96"/>
    </row>
    <row r="99" spans="2:35" ht="25.35" customHeight="1">
      <c r="B99" s="552"/>
      <c r="C99" s="217" t="s">
        <v>216</v>
      </c>
      <c r="D99" s="229"/>
      <c r="E99" s="229"/>
      <c r="F99" s="103"/>
      <c r="G99" s="104"/>
      <c r="H99" s="103"/>
      <c r="I99" s="104"/>
      <c r="J99" s="103"/>
      <c r="K99" s="104"/>
      <c r="L99" s="103"/>
      <c r="M99" s="104"/>
      <c r="N99" s="129"/>
      <c r="O99" s="130"/>
      <c r="P99" s="129"/>
      <c r="Q99" s="130">
        <v>2</v>
      </c>
      <c r="R99" s="129"/>
      <c r="S99" s="130"/>
      <c r="T99" s="129"/>
      <c r="U99" s="130"/>
      <c r="V99" s="129"/>
      <c r="W99" s="130"/>
      <c r="X99" s="155"/>
      <c r="Y99" s="156"/>
      <c r="Z99" s="155"/>
      <c r="AA99" s="156"/>
      <c r="AB99" s="155"/>
      <c r="AC99" s="156"/>
      <c r="AD99" s="155"/>
      <c r="AE99" s="156"/>
      <c r="AF99" s="79">
        <v>0</v>
      </c>
      <c r="AG99" s="79">
        <v>2</v>
      </c>
      <c r="AH99" s="96"/>
      <c r="AI99" s="96"/>
    </row>
    <row r="100" spans="2:35" ht="25.35" customHeight="1">
      <c r="B100" s="552"/>
      <c r="C100" s="217" t="s">
        <v>336</v>
      </c>
      <c r="D100" s="229"/>
      <c r="E100" s="229"/>
      <c r="F100" s="103"/>
      <c r="G100" s="104"/>
      <c r="H100" s="103"/>
      <c r="I100" s="104"/>
      <c r="J100" s="103"/>
      <c r="K100" s="104"/>
      <c r="L100" s="103"/>
      <c r="M100" s="104"/>
      <c r="N100" s="129"/>
      <c r="O100" s="130"/>
      <c r="P100" s="129"/>
      <c r="Q100" s="130">
        <v>2</v>
      </c>
      <c r="R100" s="129"/>
      <c r="S100" s="130"/>
      <c r="T100" s="129"/>
      <c r="U100" s="130"/>
      <c r="V100" s="129"/>
      <c r="W100" s="130"/>
      <c r="X100" s="155"/>
      <c r="Y100" s="156"/>
      <c r="Z100" s="155"/>
      <c r="AA100" s="156"/>
      <c r="AB100" s="155"/>
      <c r="AC100" s="156"/>
      <c r="AD100" s="155"/>
      <c r="AE100" s="156"/>
      <c r="AF100" s="79">
        <v>0</v>
      </c>
      <c r="AG100" s="79">
        <v>2</v>
      </c>
      <c r="AH100" s="96"/>
      <c r="AI100" s="96"/>
    </row>
    <row r="101" spans="2:35" ht="25.35" customHeight="1">
      <c r="B101" s="552"/>
      <c r="C101" s="217" t="s">
        <v>219</v>
      </c>
      <c r="D101" s="229"/>
      <c r="E101" s="229"/>
      <c r="F101" s="109"/>
      <c r="G101" s="110"/>
      <c r="H101" s="109"/>
      <c r="I101" s="110"/>
      <c r="J101" s="109"/>
      <c r="K101" s="110"/>
      <c r="L101" s="109"/>
      <c r="M101" s="110"/>
      <c r="N101" s="135"/>
      <c r="O101" s="144"/>
      <c r="P101" s="135">
        <v>2</v>
      </c>
      <c r="Q101" s="144"/>
      <c r="R101" s="135">
        <v>2</v>
      </c>
      <c r="S101" s="136"/>
      <c r="T101" s="135">
        <v>2</v>
      </c>
      <c r="U101" s="136"/>
      <c r="V101" s="135">
        <v>2</v>
      </c>
      <c r="W101" s="136"/>
      <c r="X101" s="161"/>
      <c r="Y101" s="162"/>
      <c r="Z101" s="161"/>
      <c r="AA101" s="162"/>
      <c r="AB101" s="161"/>
      <c r="AC101" s="162"/>
      <c r="AD101" s="161"/>
      <c r="AE101" s="162"/>
      <c r="AF101" s="79">
        <v>2</v>
      </c>
      <c r="AG101" s="79">
        <v>0</v>
      </c>
      <c r="AH101" s="96"/>
      <c r="AI101" s="96"/>
    </row>
    <row r="102" spans="2:35" ht="25.35" customHeight="1">
      <c r="B102" s="552"/>
      <c r="C102" s="217" t="s">
        <v>220</v>
      </c>
      <c r="D102" s="229"/>
      <c r="E102" s="229"/>
      <c r="F102" s="109"/>
      <c r="G102" s="110"/>
      <c r="H102" s="109"/>
      <c r="I102" s="110"/>
      <c r="J102" s="109"/>
      <c r="K102" s="110"/>
      <c r="L102" s="109"/>
      <c r="M102" s="110"/>
      <c r="N102" s="135"/>
      <c r="O102" s="144"/>
      <c r="P102" s="135">
        <v>2</v>
      </c>
      <c r="Q102" s="144"/>
      <c r="R102" s="135">
        <v>2</v>
      </c>
      <c r="S102" s="136"/>
      <c r="T102" s="135">
        <v>2</v>
      </c>
      <c r="U102" s="136"/>
      <c r="V102" s="135">
        <v>2</v>
      </c>
      <c r="W102" s="136"/>
      <c r="X102" s="161"/>
      <c r="Y102" s="162"/>
      <c r="Z102" s="161"/>
      <c r="AA102" s="162"/>
      <c r="AB102" s="161"/>
      <c r="AC102" s="162"/>
      <c r="AD102" s="161"/>
      <c r="AE102" s="162"/>
      <c r="AF102" s="79">
        <v>2</v>
      </c>
      <c r="AG102" s="79">
        <v>0</v>
      </c>
      <c r="AH102" s="96"/>
      <c r="AI102" s="96"/>
    </row>
    <row r="103" spans="2:35" ht="25.35" customHeight="1" thickBot="1">
      <c r="B103" s="552"/>
      <c r="C103" s="217" t="s">
        <v>218</v>
      </c>
      <c r="D103" s="229"/>
      <c r="E103" s="229"/>
      <c r="F103" s="103"/>
      <c r="G103" s="104"/>
      <c r="H103" s="103"/>
      <c r="I103" s="104"/>
      <c r="J103" s="103"/>
      <c r="K103" s="104"/>
      <c r="L103" s="103"/>
      <c r="M103" s="104"/>
      <c r="N103" s="129"/>
      <c r="O103" s="130"/>
      <c r="P103" s="129">
        <v>2</v>
      </c>
      <c r="Q103" s="130"/>
      <c r="R103" s="129">
        <v>2</v>
      </c>
      <c r="S103" s="130"/>
      <c r="T103" s="129">
        <v>2</v>
      </c>
      <c r="U103" s="130"/>
      <c r="V103" s="129">
        <v>2</v>
      </c>
      <c r="W103" s="130"/>
      <c r="X103" s="155"/>
      <c r="Y103" s="156"/>
      <c r="Z103" s="155"/>
      <c r="AA103" s="156"/>
      <c r="AB103" s="155"/>
      <c r="AC103" s="156"/>
      <c r="AD103" s="155"/>
      <c r="AE103" s="156"/>
      <c r="AF103" s="79">
        <v>2</v>
      </c>
      <c r="AG103" s="79">
        <v>0</v>
      </c>
      <c r="AH103" s="96"/>
      <c r="AI103" s="96"/>
    </row>
    <row r="104" spans="2:35" ht="25.35" customHeight="1" thickTop="1">
      <c r="B104" s="553" t="s">
        <v>186</v>
      </c>
      <c r="C104" s="59" t="s">
        <v>190</v>
      </c>
      <c r="D104" s="251">
        <v>3</v>
      </c>
      <c r="E104" s="252">
        <v>3</v>
      </c>
      <c r="F104" s="59"/>
      <c r="G104" s="59"/>
      <c r="H104" s="59"/>
      <c r="I104" s="59"/>
      <c r="J104" s="59"/>
      <c r="K104" s="59"/>
      <c r="L104" s="59"/>
      <c r="M104" s="59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53"/>
      <c r="Y104" s="153"/>
      <c r="Z104" s="153"/>
      <c r="AA104" s="153"/>
      <c r="AB104" s="153"/>
      <c r="AC104" s="153"/>
      <c r="AD104" s="153"/>
      <c r="AE104" s="153"/>
      <c r="AF104" s="59">
        <v>3</v>
      </c>
      <c r="AG104" s="59">
        <v>3</v>
      </c>
      <c r="AH104" s="5">
        <f>SUM(AF104:AF120)</f>
        <v>26</v>
      </c>
      <c r="AI104" s="5">
        <f>SUM(AG104:AG120)</f>
        <v>29</v>
      </c>
    </row>
    <row r="105" spans="2:35" ht="25.35" customHeight="1">
      <c r="B105" s="554"/>
      <c r="C105" s="61" t="s">
        <v>187</v>
      </c>
      <c r="D105" s="243">
        <v>3</v>
      </c>
      <c r="E105" s="244">
        <v>3</v>
      </c>
      <c r="F105" s="115"/>
      <c r="G105" s="116"/>
      <c r="H105" s="115"/>
      <c r="I105" s="116"/>
      <c r="J105" s="115"/>
      <c r="K105" s="116"/>
      <c r="L105" s="115"/>
      <c r="M105" s="116"/>
      <c r="N105" s="140"/>
      <c r="O105" s="141"/>
      <c r="P105" s="140"/>
      <c r="Q105" s="141"/>
      <c r="R105" s="140"/>
      <c r="S105" s="141"/>
      <c r="T105" s="140"/>
      <c r="U105" s="141"/>
      <c r="V105" s="140"/>
      <c r="W105" s="141"/>
      <c r="X105" s="167"/>
      <c r="Y105" s="168"/>
      <c r="Z105" s="167"/>
      <c r="AA105" s="168"/>
      <c r="AB105" s="167"/>
      <c r="AC105" s="168"/>
      <c r="AD105" s="167"/>
      <c r="AE105" s="168"/>
      <c r="AF105" s="83">
        <v>3</v>
      </c>
      <c r="AG105" s="83">
        <v>3</v>
      </c>
      <c r="AH105" s="96"/>
      <c r="AI105" s="96"/>
    </row>
    <row r="106" spans="2:35" ht="25.35" customHeight="1">
      <c r="B106" s="554"/>
      <c r="C106" s="61" t="s">
        <v>225</v>
      </c>
      <c r="D106" s="243">
        <v>2</v>
      </c>
      <c r="E106" s="244">
        <v>2</v>
      </c>
      <c r="F106" s="115"/>
      <c r="G106" s="116"/>
      <c r="H106" s="115"/>
      <c r="I106" s="116"/>
      <c r="J106" s="115"/>
      <c r="K106" s="116"/>
      <c r="L106" s="115"/>
      <c r="M106" s="116"/>
      <c r="N106" s="140"/>
      <c r="O106" s="141"/>
      <c r="P106" s="140"/>
      <c r="Q106" s="141"/>
      <c r="R106" s="140"/>
      <c r="S106" s="141"/>
      <c r="T106" s="140"/>
      <c r="U106" s="141"/>
      <c r="V106" s="140"/>
      <c r="W106" s="141"/>
      <c r="X106" s="167"/>
      <c r="Y106" s="168"/>
      <c r="Z106" s="167"/>
      <c r="AA106" s="168"/>
      <c r="AB106" s="167"/>
      <c r="AC106" s="168"/>
      <c r="AD106" s="167"/>
      <c r="AE106" s="168"/>
      <c r="AF106" s="83">
        <v>2</v>
      </c>
      <c r="AG106" s="83">
        <v>2</v>
      </c>
      <c r="AH106" s="96"/>
      <c r="AI106" s="96"/>
    </row>
    <row r="107" spans="2:35" ht="25.35" customHeight="1">
      <c r="B107" s="554"/>
      <c r="C107" s="61" t="s">
        <v>188</v>
      </c>
      <c r="D107" s="243">
        <v>2</v>
      </c>
      <c r="E107" s="244">
        <v>2</v>
      </c>
      <c r="F107" s="115"/>
      <c r="G107" s="116"/>
      <c r="H107" s="115"/>
      <c r="I107" s="116"/>
      <c r="J107" s="115"/>
      <c r="K107" s="116"/>
      <c r="L107" s="115"/>
      <c r="M107" s="116"/>
      <c r="N107" s="140"/>
      <c r="O107" s="141"/>
      <c r="P107" s="140"/>
      <c r="Q107" s="141"/>
      <c r="R107" s="140"/>
      <c r="S107" s="141"/>
      <c r="T107" s="140"/>
      <c r="U107" s="141"/>
      <c r="V107" s="140"/>
      <c r="W107" s="141"/>
      <c r="X107" s="167"/>
      <c r="Y107" s="168"/>
      <c r="Z107" s="167"/>
      <c r="AA107" s="168"/>
      <c r="AB107" s="167"/>
      <c r="AC107" s="168"/>
      <c r="AD107" s="167"/>
      <c r="AE107" s="168"/>
      <c r="AF107" s="83">
        <v>2</v>
      </c>
      <c r="AG107" s="83">
        <v>2</v>
      </c>
      <c r="AH107" s="96"/>
      <c r="AI107" s="96"/>
    </row>
    <row r="108" spans="2:35" ht="25.35" customHeight="1">
      <c r="B108" s="554"/>
      <c r="C108" s="61" t="s">
        <v>189</v>
      </c>
      <c r="D108" s="243">
        <v>2</v>
      </c>
      <c r="E108" s="244">
        <v>2</v>
      </c>
      <c r="F108" s="115"/>
      <c r="G108" s="116"/>
      <c r="H108" s="115"/>
      <c r="I108" s="116"/>
      <c r="J108" s="115"/>
      <c r="K108" s="116"/>
      <c r="L108" s="115"/>
      <c r="M108" s="116"/>
      <c r="N108" s="140"/>
      <c r="O108" s="141"/>
      <c r="P108" s="140"/>
      <c r="Q108" s="141"/>
      <c r="R108" s="140"/>
      <c r="S108" s="141"/>
      <c r="T108" s="140"/>
      <c r="U108" s="141"/>
      <c r="V108" s="140"/>
      <c r="W108" s="141"/>
      <c r="X108" s="167"/>
      <c r="Y108" s="168"/>
      <c r="Z108" s="167"/>
      <c r="AA108" s="168"/>
      <c r="AB108" s="167"/>
      <c r="AC108" s="168"/>
      <c r="AD108" s="167"/>
      <c r="AE108" s="168"/>
      <c r="AF108" s="83">
        <v>2</v>
      </c>
      <c r="AG108" s="83">
        <v>2</v>
      </c>
      <c r="AH108" s="96"/>
      <c r="AI108" s="96"/>
    </row>
    <row r="109" spans="2:35" ht="25.35" customHeight="1">
      <c r="B109" s="554"/>
      <c r="C109" s="61" t="s">
        <v>226</v>
      </c>
      <c r="D109" s="243"/>
      <c r="E109" s="244"/>
      <c r="F109" s="115"/>
      <c r="G109" s="116"/>
      <c r="H109" s="115"/>
      <c r="I109" s="116"/>
      <c r="J109" s="115"/>
      <c r="K109" s="116"/>
      <c r="L109" s="115"/>
      <c r="M109" s="116"/>
      <c r="N109" s="140">
        <v>0</v>
      </c>
      <c r="O109" s="141">
        <v>2</v>
      </c>
      <c r="P109" s="140"/>
      <c r="Q109" s="141"/>
      <c r="R109" s="140"/>
      <c r="S109" s="141"/>
      <c r="T109" s="140"/>
      <c r="U109" s="141"/>
      <c r="V109" s="140"/>
      <c r="W109" s="141"/>
      <c r="X109" s="167"/>
      <c r="Y109" s="168"/>
      <c r="Z109" s="167"/>
      <c r="AA109" s="168"/>
      <c r="AB109" s="167"/>
      <c r="AC109" s="168"/>
      <c r="AD109" s="167"/>
      <c r="AE109" s="168"/>
      <c r="AF109" s="83">
        <v>0</v>
      </c>
      <c r="AG109" s="83">
        <v>2</v>
      </c>
      <c r="AH109" s="96"/>
      <c r="AI109" s="96"/>
    </row>
    <row r="110" spans="2:35" ht="25.35" customHeight="1">
      <c r="B110" s="255"/>
      <c r="C110" s="61" t="s">
        <v>227</v>
      </c>
      <c r="D110" s="243"/>
      <c r="E110" s="244"/>
      <c r="F110" s="115"/>
      <c r="G110" s="116"/>
      <c r="H110" s="115"/>
      <c r="I110" s="116"/>
      <c r="J110" s="115"/>
      <c r="K110" s="116"/>
      <c r="L110" s="115"/>
      <c r="M110" s="116"/>
      <c r="N110" s="140">
        <v>0</v>
      </c>
      <c r="O110" s="141">
        <v>2</v>
      </c>
      <c r="P110" s="140"/>
      <c r="Q110" s="141"/>
      <c r="R110" s="140"/>
      <c r="S110" s="141"/>
      <c r="T110" s="140"/>
      <c r="U110" s="141"/>
      <c r="V110" s="140"/>
      <c r="W110" s="141"/>
      <c r="X110" s="167"/>
      <c r="Y110" s="168"/>
      <c r="Z110" s="167"/>
      <c r="AA110" s="168"/>
      <c r="AB110" s="167"/>
      <c r="AC110" s="168"/>
      <c r="AD110" s="167"/>
      <c r="AE110" s="168"/>
      <c r="AF110" s="83">
        <v>0</v>
      </c>
      <c r="AG110" s="83">
        <v>2</v>
      </c>
      <c r="AH110" s="96"/>
      <c r="AI110" s="96"/>
    </row>
    <row r="111" spans="2:35" ht="25.35" customHeight="1">
      <c r="B111" s="255"/>
      <c r="C111" s="61" t="s">
        <v>228</v>
      </c>
      <c r="D111" s="243"/>
      <c r="E111" s="244"/>
      <c r="F111" s="115"/>
      <c r="G111" s="116"/>
      <c r="H111" s="115"/>
      <c r="I111" s="116"/>
      <c r="J111" s="115"/>
      <c r="K111" s="116"/>
      <c r="L111" s="115"/>
      <c r="M111" s="116"/>
      <c r="N111" s="140">
        <v>2</v>
      </c>
      <c r="O111" s="141">
        <v>0</v>
      </c>
      <c r="P111" s="140"/>
      <c r="Q111" s="141"/>
      <c r="R111" s="140"/>
      <c r="S111" s="141"/>
      <c r="T111" s="140"/>
      <c r="U111" s="141"/>
      <c r="V111" s="140"/>
      <c r="W111" s="141"/>
      <c r="X111" s="167"/>
      <c r="Y111" s="168"/>
      <c r="Z111" s="167"/>
      <c r="AA111" s="168"/>
      <c r="AB111" s="167"/>
      <c r="AC111" s="168"/>
      <c r="AD111" s="167"/>
      <c r="AE111" s="168"/>
      <c r="AF111" s="83">
        <v>2</v>
      </c>
      <c r="AG111" s="83">
        <v>0</v>
      </c>
      <c r="AH111" s="96"/>
      <c r="AI111" s="96"/>
    </row>
    <row r="112" spans="2:35" ht="25.35" customHeight="1">
      <c r="B112" s="255"/>
      <c r="C112" s="61" t="s">
        <v>229</v>
      </c>
      <c r="D112" s="243"/>
      <c r="E112" s="244"/>
      <c r="F112" s="115"/>
      <c r="G112" s="116"/>
      <c r="H112" s="115"/>
      <c r="I112" s="116"/>
      <c r="J112" s="115"/>
      <c r="K112" s="116"/>
      <c r="L112" s="115"/>
      <c r="M112" s="116"/>
      <c r="N112" s="140">
        <v>2</v>
      </c>
      <c r="O112" s="141">
        <v>0</v>
      </c>
      <c r="P112" s="140"/>
      <c r="Q112" s="141"/>
      <c r="R112" s="140"/>
      <c r="S112" s="141"/>
      <c r="T112" s="140"/>
      <c r="U112" s="141"/>
      <c r="V112" s="140"/>
      <c r="W112" s="141"/>
      <c r="X112" s="167"/>
      <c r="Y112" s="168"/>
      <c r="Z112" s="167"/>
      <c r="AA112" s="168"/>
      <c r="AB112" s="167"/>
      <c r="AC112" s="168"/>
      <c r="AD112" s="167"/>
      <c r="AE112" s="168"/>
      <c r="AF112" s="83">
        <v>2</v>
      </c>
      <c r="AG112" s="83">
        <v>0</v>
      </c>
      <c r="AH112" s="96"/>
      <c r="AI112" s="96"/>
    </row>
    <row r="113" spans="2:37" ht="25.35" customHeight="1">
      <c r="B113" s="255"/>
      <c r="C113" s="61" t="s">
        <v>230</v>
      </c>
      <c r="D113" s="243"/>
      <c r="E113" s="244"/>
      <c r="F113" s="115"/>
      <c r="G113" s="116"/>
      <c r="H113" s="115"/>
      <c r="I113" s="116"/>
      <c r="J113" s="115"/>
      <c r="K113" s="116"/>
      <c r="L113" s="115"/>
      <c r="M113" s="116"/>
      <c r="N113" s="140">
        <v>2</v>
      </c>
      <c r="O113" s="141">
        <v>2</v>
      </c>
      <c r="P113" s="140"/>
      <c r="Q113" s="141"/>
      <c r="R113" s="140"/>
      <c r="S113" s="141"/>
      <c r="T113" s="140"/>
      <c r="U113" s="141"/>
      <c r="V113" s="140"/>
      <c r="W113" s="141"/>
      <c r="X113" s="167"/>
      <c r="Y113" s="168"/>
      <c r="Z113" s="167"/>
      <c r="AA113" s="168"/>
      <c r="AB113" s="167"/>
      <c r="AC113" s="168"/>
      <c r="AD113" s="167"/>
      <c r="AE113" s="168"/>
      <c r="AF113" s="83">
        <v>2</v>
      </c>
      <c r="AG113" s="83">
        <v>2</v>
      </c>
      <c r="AH113" s="96"/>
      <c r="AI113" s="96"/>
    </row>
    <row r="114" spans="2:37" ht="25.35" customHeight="1">
      <c r="B114" s="255"/>
      <c r="C114" s="61" t="s">
        <v>231</v>
      </c>
      <c r="D114" s="243"/>
      <c r="E114" s="244"/>
      <c r="F114" s="115"/>
      <c r="G114" s="116"/>
      <c r="H114" s="115"/>
      <c r="I114" s="116"/>
      <c r="J114" s="115"/>
      <c r="K114" s="116"/>
      <c r="L114" s="115"/>
      <c r="M114" s="116"/>
      <c r="N114" s="140">
        <v>3</v>
      </c>
      <c r="O114" s="141">
        <v>3</v>
      </c>
      <c r="P114" s="140"/>
      <c r="Q114" s="141"/>
      <c r="R114" s="140"/>
      <c r="S114" s="141"/>
      <c r="T114" s="140"/>
      <c r="U114" s="141"/>
      <c r="V114" s="140"/>
      <c r="W114" s="141"/>
      <c r="X114" s="167"/>
      <c r="Y114" s="168"/>
      <c r="Z114" s="167"/>
      <c r="AA114" s="168"/>
      <c r="AB114" s="167"/>
      <c r="AC114" s="168"/>
      <c r="AD114" s="167"/>
      <c r="AE114" s="168"/>
      <c r="AF114" s="83">
        <v>3</v>
      </c>
      <c r="AG114" s="83">
        <v>3</v>
      </c>
      <c r="AH114" s="96"/>
      <c r="AI114" s="96"/>
    </row>
    <row r="115" spans="2:37" ht="25.35" customHeight="1">
      <c r="B115" s="255"/>
      <c r="C115" s="61" t="s">
        <v>232</v>
      </c>
      <c r="D115" s="243"/>
      <c r="E115" s="244"/>
      <c r="F115" s="115"/>
      <c r="G115" s="116"/>
      <c r="H115" s="115"/>
      <c r="I115" s="116"/>
      <c r="J115" s="115"/>
      <c r="K115" s="116"/>
      <c r="L115" s="115"/>
      <c r="M115" s="116"/>
      <c r="N115" s="140">
        <v>3</v>
      </c>
      <c r="O115" s="141">
        <v>0</v>
      </c>
      <c r="P115" s="140"/>
      <c r="Q115" s="141"/>
      <c r="R115" s="140"/>
      <c r="S115" s="141"/>
      <c r="T115" s="140"/>
      <c r="U115" s="141"/>
      <c r="V115" s="140"/>
      <c r="W115" s="141"/>
      <c r="X115" s="167"/>
      <c r="Y115" s="168"/>
      <c r="Z115" s="167"/>
      <c r="AA115" s="168"/>
      <c r="AB115" s="167"/>
      <c r="AC115" s="168"/>
      <c r="AD115" s="167"/>
      <c r="AE115" s="168"/>
      <c r="AF115" s="83">
        <v>3</v>
      </c>
      <c r="AG115" s="83">
        <v>0</v>
      </c>
      <c r="AH115" s="96"/>
      <c r="AI115" s="96"/>
    </row>
    <row r="116" spans="2:37" ht="25.35" customHeight="1">
      <c r="B116" s="255"/>
      <c r="C116" s="61" t="s">
        <v>233</v>
      </c>
      <c r="D116" s="243"/>
      <c r="E116" s="244"/>
      <c r="F116" s="115"/>
      <c r="G116" s="116"/>
      <c r="H116" s="115"/>
      <c r="I116" s="116"/>
      <c r="J116" s="115"/>
      <c r="K116" s="116"/>
      <c r="L116" s="115"/>
      <c r="M116" s="116"/>
      <c r="N116" s="140">
        <v>0</v>
      </c>
      <c r="O116" s="141">
        <v>3</v>
      </c>
      <c r="P116" s="140"/>
      <c r="Q116" s="141"/>
      <c r="R116" s="140"/>
      <c r="S116" s="141"/>
      <c r="T116" s="140"/>
      <c r="U116" s="141"/>
      <c r="V116" s="140"/>
      <c r="W116" s="141"/>
      <c r="X116" s="167"/>
      <c r="Y116" s="168"/>
      <c r="Z116" s="167"/>
      <c r="AA116" s="168"/>
      <c r="AB116" s="167"/>
      <c r="AC116" s="168"/>
      <c r="AD116" s="167"/>
      <c r="AE116" s="168"/>
      <c r="AF116" s="83">
        <v>0</v>
      </c>
      <c r="AG116" s="83">
        <v>3</v>
      </c>
      <c r="AH116" s="96"/>
      <c r="AI116" s="96"/>
    </row>
    <row r="117" spans="2:37" ht="25.35" customHeight="1">
      <c r="B117" s="255"/>
      <c r="C117" s="61" t="s">
        <v>335</v>
      </c>
      <c r="D117" s="243"/>
      <c r="E117" s="244"/>
      <c r="F117" s="115"/>
      <c r="G117" s="116"/>
      <c r="H117" s="115"/>
      <c r="I117" s="116"/>
      <c r="J117" s="115"/>
      <c r="K117" s="116"/>
      <c r="L117" s="115"/>
      <c r="M117" s="116"/>
      <c r="N117" s="352">
        <v>3</v>
      </c>
      <c r="O117" s="141">
        <v>0</v>
      </c>
      <c r="P117" s="140"/>
      <c r="Q117" s="141"/>
      <c r="R117" s="140"/>
      <c r="S117" s="141"/>
      <c r="T117" s="140"/>
      <c r="U117" s="141"/>
      <c r="V117" s="140"/>
      <c r="W117" s="141"/>
      <c r="X117" s="167"/>
      <c r="Y117" s="168"/>
      <c r="Z117" s="167"/>
      <c r="AA117" s="168"/>
      <c r="AB117" s="167"/>
      <c r="AC117" s="168"/>
      <c r="AD117" s="167"/>
      <c r="AE117" s="168"/>
      <c r="AF117" s="83">
        <v>0</v>
      </c>
      <c r="AG117" s="83">
        <v>0</v>
      </c>
      <c r="AH117" s="96"/>
      <c r="AI117" s="96"/>
    </row>
    <row r="118" spans="2:37" ht="25.35" customHeight="1">
      <c r="B118" s="255"/>
      <c r="C118" s="61" t="s">
        <v>235</v>
      </c>
      <c r="D118" s="243"/>
      <c r="E118" s="244"/>
      <c r="F118" s="115"/>
      <c r="G118" s="116"/>
      <c r="H118" s="115"/>
      <c r="I118" s="116"/>
      <c r="J118" s="115"/>
      <c r="K118" s="116"/>
      <c r="L118" s="115"/>
      <c r="M118" s="116"/>
      <c r="N118" s="140">
        <v>0</v>
      </c>
      <c r="O118" s="141">
        <v>3</v>
      </c>
      <c r="P118" s="140"/>
      <c r="Q118" s="141"/>
      <c r="R118" s="140"/>
      <c r="S118" s="141"/>
      <c r="T118" s="140"/>
      <c r="U118" s="141"/>
      <c r="V118" s="140"/>
      <c r="W118" s="141"/>
      <c r="X118" s="167"/>
      <c r="Y118" s="168"/>
      <c r="Z118" s="167"/>
      <c r="AA118" s="168"/>
      <c r="AB118" s="167"/>
      <c r="AC118" s="168"/>
      <c r="AD118" s="167"/>
      <c r="AE118" s="168"/>
      <c r="AF118" s="83">
        <v>0</v>
      </c>
      <c r="AG118" s="83">
        <v>3</v>
      </c>
      <c r="AH118" s="96"/>
      <c r="AI118" s="96"/>
    </row>
    <row r="119" spans="2:37" ht="25.35" customHeight="1">
      <c r="B119" s="255"/>
      <c r="C119" s="61" t="s">
        <v>236</v>
      </c>
      <c r="D119" s="243"/>
      <c r="E119" s="244"/>
      <c r="F119" s="115"/>
      <c r="G119" s="116"/>
      <c r="H119" s="115"/>
      <c r="I119" s="116"/>
      <c r="J119" s="115"/>
      <c r="K119" s="116"/>
      <c r="L119" s="115"/>
      <c r="M119" s="116"/>
      <c r="N119" s="140">
        <v>0</v>
      </c>
      <c r="O119" s="141">
        <v>2</v>
      </c>
      <c r="P119" s="140"/>
      <c r="Q119" s="141"/>
      <c r="R119" s="140"/>
      <c r="S119" s="141"/>
      <c r="T119" s="140"/>
      <c r="U119" s="141"/>
      <c r="V119" s="140"/>
      <c r="W119" s="141"/>
      <c r="X119" s="167"/>
      <c r="Y119" s="168"/>
      <c r="Z119" s="167"/>
      <c r="AA119" s="168"/>
      <c r="AB119" s="167"/>
      <c r="AC119" s="168"/>
      <c r="AD119" s="167"/>
      <c r="AE119" s="168"/>
      <c r="AF119" s="83">
        <v>0</v>
      </c>
      <c r="AG119" s="83">
        <v>2</v>
      </c>
      <c r="AH119" s="96"/>
      <c r="AI119" s="96"/>
    </row>
    <row r="120" spans="2:37" ht="25.35" customHeight="1">
      <c r="B120" s="255"/>
      <c r="C120" s="61" t="s">
        <v>237</v>
      </c>
      <c r="D120" s="243"/>
      <c r="E120" s="244"/>
      <c r="F120" s="115"/>
      <c r="G120" s="116"/>
      <c r="H120" s="115"/>
      <c r="I120" s="116"/>
      <c r="J120" s="115"/>
      <c r="K120" s="116"/>
      <c r="L120" s="115"/>
      <c r="M120" s="116"/>
      <c r="N120" s="140">
        <v>2</v>
      </c>
      <c r="O120" s="141">
        <v>0</v>
      </c>
      <c r="P120" s="140"/>
      <c r="Q120" s="141"/>
      <c r="R120" s="140"/>
      <c r="S120" s="141"/>
      <c r="T120" s="140"/>
      <c r="U120" s="141"/>
      <c r="V120" s="140"/>
      <c r="W120" s="141"/>
      <c r="X120" s="167"/>
      <c r="Y120" s="168"/>
      <c r="Z120" s="167"/>
      <c r="AA120" s="168"/>
      <c r="AB120" s="167"/>
      <c r="AC120" s="168"/>
      <c r="AD120" s="167"/>
      <c r="AE120" s="168"/>
      <c r="AF120" s="83">
        <v>2</v>
      </c>
      <c r="AG120" s="83">
        <v>0</v>
      </c>
      <c r="AH120" s="96"/>
      <c r="AI120" s="96"/>
    </row>
    <row r="121" spans="2:37" ht="25.35" customHeight="1" thickBot="1">
      <c r="B121" s="255"/>
      <c r="C121" s="61" t="s">
        <v>238</v>
      </c>
      <c r="D121" s="243"/>
      <c r="E121" s="244"/>
      <c r="F121" s="115"/>
      <c r="G121" s="116"/>
      <c r="H121" s="115"/>
      <c r="I121" s="116"/>
      <c r="J121" s="115"/>
      <c r="K121" s="116"/>
      <c r="L121" s="115"/>
      <c r="M121" s="116"/>
      <c r="N121" s="140">
        <v>2</v>
      </c>
      <c r="O121" s="141">
        <v>0</v>
      </c>
      <c r="P121" s="140"/>
      <c r="Q121" s="141"/>
      <c r="R121" s="140"/>
      <c r="S121" s="141"/>
      <c r="T121" s="140"/>
      <c r="U121" s="141"/>
      <c r="V121" s="140"/>
      <c r="W121" s="141"/>
      <c r="X121" s="167"/>
      <c r="Y121" s="168"/>
      <c r="Z121" s="167"/>
      <c r="AA121" s="168"/>
      <c r="AB121" s="167"/>
      <c r="AC121" s="168"/>
      <c r="AD121" s="167"/>
      <c r="AE121" s="168"/>
      <c r="AF121" s="83">
        <v>2</v>
      </c>
      <c r="AG121" s="83">
        <v>0</v>
      </c>
      <c r="AH121" s="96"/>
      <c r="AI121" s="96"/>
    </row>
    <row r="122" spans="2:37" ht="25.35" customHeight="1" thickTop="1">
      <c r="B122" s="550" t="s">
        <v>23</v>
      </c>
      <c r="C122" s="59" t="s">
        <v>54</v>
      </c>
      <c r="D122" s="101">
        <v>1</v>
      </c>
      <c r="E122" s="102">
        <v>1</v>
      </c>
      <c r="F122" s="101">
        <v>1</v>
      </c>
      <c r="G122" s="102">
        <v>1</v>
      </c>
      <c r="H122" s="101">
        <v>1</v>
      </c>
      <c r="I122" s="102">
        <v>1</v>
      </c>
      <c r="J122" s="101">
        <v>1</v>
      </c>
      <c r="K122" s="102">
        <v>1</v>
      </c>
      <c r="L122" s="101">
        <v>1</v>
      </c>
      <c r="M122" s="102">
        <v>1</v>
      </c>
      <c r="N122" s="128"/>
      <c r="O122" s="139"/>
      <c r="P122" s="128"/>
      <c r="Q122" s="139"/>
      <c r="R122" s="128"/>
      <c r="S122" s="139"/>
      <c r="T122" s="128"/>
      <c r="U122" s="139"/>
      <c r="V122" s="128"/>
      <c r="W122" s="139"/>
      <c r="X122" s="153"/>
      <c r="Y122" s="154"/>
      <c r="Z122" s="153"/>
      <c r="AA122" s="154"/>
      <c r="AB122" s="153"/>
      <c r="AC122" s="154"/>
      <c r="AD122" s="153"/>
      <c r="AE122" s="154"/>
      <c r="AF122" s="75">
        <f t="shared" ref="AF122:AG126" si="3">F122*2+H122*2+J122*2+L122*2+P122*3+R122*2+T122*2+V122*2+X122*3+Z122*2+AB122*2+AD122*2+D122</f>
        <v>9</v>
      </c>
      <c r="AG122" s="75">
        <f t="shared" si="3"/>
        <v>9</v>
      </c>
      <c r="AH122" s="5">
        <f>SUM(AF122:AF123)</f>
        <v>17</v>
      </c>
      <c r="AI122" s="5">
        <f>SUM(AG122:AG123)</f>
        <v>17</v>
      </c>
      <c r="AK122" s="224"/>
    </row>
    <row r="123" spans="2:37" ht="25.35" customHeight="1">
      <c r="B123" s="552"/>
      <c r="C123" s="43" t="s">
        <v>55</v>
      </c>
      <c r="D123" s="103"/>
      <c r="E123" s="104"/>
      <c r="F123" s="103">
        <v>1</v>
      </c>
      <c r="G123" s="104">
        <v>1</v>
      </c>
      <c r="H123" s="103">
        <v>1</v>
      </c>
      <c r="I123" s="104">
        <v>1</v>
      </c>
      <c r="J123" s="103">
        <v>1</v>
      </c>
      <c r="K123" s="104">
        <v>1</v>
      </c>
      <c r="L123" s="103">
        <v>1</v>
      </c>
      <c r="M123" s="104">
        <v>1</v>
      </c>
      <c r="N123" s="129"/>
      <c r="O123" s="130"/>
      <c r="P123" s="129"/>
      <c r="Q123" s="130"/>
      <c r="R123" s="129"/>
      <c r="S123" s="130"/>
      <c r="T123" s="129"/>
      <c r="U123" s="130"/>
      <c r="V123" s="129"/>
      <c r="W123" s="130"/>
      <c r="X123" s="155"/>
      <c r="Y123" s="156"/>
      <c r="Z123" s="155"/>
      <c r="AA123" s="156"/>
      <c r="AB123" s="155"/>
      <c r="AC123" s="156"/>
      <c r="AD123" s="155"/>
      <c r="AE123" s="156"/>
      <c r="AF123" s="79">
        <f t="shared" si="3"/>
        <v>8</v>
      </c>
      <c r="AG123" s="79">
        <f t="shared" si="3"/>
        <v>8</v>
      </c>
      <c r="AH123" s="21"/>
      <c r="AI123" s="21"/>
    </row>
    <row r="124" spans="2:37" ht="44.25" customHeight="1">
      <c r="B124" s="552"/>
      <c r="C124" s="17" t="s">
        <v>17</v>
      </c>
      <c r="D124" s="103">
        <v>2</v>
      </c>
      <c r="E124" s="104">
        <v>2</v>
      </c>
      <c r="F124" s="103">
        <v>2</v>
      </c>
      <c r="G124" s="104">
        <v>2</v>
      </c>
      <c r="H124" s="103">
        <v>2</v>
      </c>
      <c r="I124" s="104">
        <v>2</v>
      </c>
      <c r="J124" s="103">
        <v>2</v>
      </c>
      <c r="K124" s="104">
        <v>2</v>
      </c>
      <c r="L124" s="103">
        <v>2</v>
      </c>
      <c r="M124" s="104">
        <v>2</v>
      </c>
      <c r="N124" s="129">
        <v>2</v>
      </c>
      <c r="O124" s="130">
        <v>2</v>
      </c>
      <c r="P124" s="129">
        <v>2</v>
      </c>
      <c r="Q124" s="130">
        <v>2</v>
      </c>
      <c r="R124" s="129">
        <v>2</v>
      </c>
      <c r="S124" s="130">
        <v>2</v>
      </c>
      <c r="T124" s="129">
        <v>2</v>
      </c>
      <c r="U124" s="130">
        <v>2</v>
      </c>
      <c r="V124" s="129">
        <v>2</v>
      </c>
      <c r="W124" s="130">
        <v>2</v>
      </c>
      <c r="X124" s="155">
        <v>2</v>
      </c>
      <c r="Y124" s="156">
        <v>2</v>
      </c>
      <c r="Z124" s="155">
        <v>2</v>
      </c>
      <c r="AA124" s="156">
        <v>2</v>
      </c>
      <c r="AB124" s="155">
        <v>2</v>
      </c>
      <c r="AC124" s="156">
        <v>2</v>
      </c>
      <c r="AD124" s="155">
        <v>2</v>
      </c>
      <c r="AE124" s="156">
        <v>2</v>
      </c>
      <c r="AF124" s="79">
        <f t="shared" si="3"/>
        <v>54</v>
      </c>
      <c r="AG124" s="79">
        <f t="shared" si="3"/>
        <v>54</v>
      </c>
      <c r="AH124" s="10">
        <f>SUM(AF124)</f>
        <v>54</v>
      </c>
      <c r="AI124" s="10">
        <f t="shared" ref="AH124:AI127" si="4">SUM(AG124)</f>
        <v>54</v>
      </c>
      <c r="AK124" s="224"/>
    </row>
    <row r="125" spans="2:37" ht="28.5" customHeight="1">
      <c r="B125" s="552"/>
      <c r="C125" s="15" t="s">
        <v>18</v>
      </c>
      <c r="D125" s="103">
        <v>1</v>
      </c>
      <c r="E125" s="104">
        <v>1</v>
      </c>
      <c r="F125" s="103">
        <v>1</v>
      </c>
      <c r="G125" s="104">
        <v>1</v>
      </c>
      <c r="H125" s="103">
        <v>1</v>
      </c>
      <c r="I125" s="104">
        <v>1</v>
      </c>
      <c r="J125" s="103">
        <v>1</v>
      </c>
      <c r="K125" s="104">
        <v>1</v>
      </c>
      <c r="L125" s="103">
        <v>1</v>
      </c>
      <c r="M125" s="104">
        <v>1</v>
      </c>
      <c r="N125" s="129"/>
      <c r="O125" s="130"/>
      <c r="P125" s="129"/>
      <c r="Q125" s="130"/>
      <c r="R125" s="129"/>
      <c r="S125" s="130"/>
      <c r="T125" s="129"/>
      <c r="U125" s="130"/>
      <c r="V125" s="129"/>
      <c r="W125" s="130"/>
      <c r="X125" s="155"/>
      <c r="Y125" s="156"/>
      <c r="Z125" s="155"/>
      <c r="AA125" s="156"/>
      <c r="AB125" s="155"/>
      <c r="AC125" s="156"/>
      <c r="AD125" s="155"/>
      <c r="AE125" s="156"/>
      <c r="AF125" s="79">
        <f t="shared" si="3"/>
        <v>9</v>
      </c>
      <c r="AG125" s="79">
        <f t="shared" si="3"/>
        <v>9</v>
      </c>
      <c r="AH125" s="10">
        <f t="shared" si="4"/>
        <v>9</v>
      </c>
      <c r="AI125" s="10">
        <f t="shared" si="4"/>
        <v>9</v>
      </c>
    </row>
    <row r="126" spans="2:37" ht="27.75" customHeight="1">
      <c r="B126" s="552"/>
      <c r="C126" s="15" t="s">
        <v>19</v>
      </c>
      <c r="D126" s="103">
        <v>1</v>
      </c>
      <c r="E126" s="104">
        <v>1</v>
      </c>
      <c r="F126" s="103">
        <v>1</v>
      </c>
      <c r="G126" s="104">
        <v>1</v>
      </c>
      <c r="H126" s="103">
        <v>1</v>
      </c>
      <c r="I126" s="104">
        <v>1</v>
      </c>
      <c r="J126" s="103">
        <v>1</v>
      </c>
      <c r="K126" s="104">
        <v>1</v>
      </c>
      <c r="L126" s="103">
        <v>1</v>
      </c>
      <c r="M126" s="104">
        <v>1</v>
      </c>
      <c r="N126" s="129"/>
      <c r="O126" s="130"/>
      <c r="P126" s="129"/>
      <c r="Q126" s="130"/>
      <c r="R126" s="129"/>
      <c r="S126" s="130"/>
      <c r="T126" s="129"/>
      <c r="U126" s="130"/>
      <c r="V126" s="129"/>
      <c r="W126" s="130"/>
      <c r="X126" s="155"/>
      <c r="Y126" s="156"/>
      <c r="Z126" s="155"/>
      <c r="AA126" s="156"/>
      <c r="AB126" s="155"/>
      <c r="AC126" s="156"/>
      <c r="AD126" s="155"/>
      <c r="AE126" s="156"/>
      <c r="AF126" s="79">
        <f t="shared" si="3"/>
        <v>9</v>
      </c>
      <c r="AG126" s="79">
        <f t="shared" si="3"/>
        <v>9</v>
      </c>
      <c r="AH126" s="10">
        <f>SUM(AF126)</f>
        <v>9</v>
      </c>
      <c r="AI126" s="10">
        <f t="shared" si="4"/>
        <v>9</v>
      </c>
      <c r="AK126" s="224"/>
    </row>
    <row r="127" spans="2:37" ht="21.75" customHeight="1" thickBot="1">
      <c r="B127" s="552"/>
      <c r="C127" s="17" t="s">
        <v>45</v>
      </c>
      <c r="D127" s="235"/>
      <c r="E127" s="236"/>
      <c r="F127" s="103"/>
      <c r="G127" s="104"/>
      <c r="H127" s="103"/>
      <c r="I127" s="104"/>
      <c r="J127" s="103"/>
      <c r="K127" s="104"/>
      <c r="L127" s="103"/>
      <c r="M127" s="104"/>
      <c r="N127" s="129">
        <v>1</v>
      </c>
      <c r="O127" s="130">
        <v>1</v>
      </c>
      <c r="P127" s="129">
        <v>1</v>
      </c>
      <c r="Q127" s="130">
        <v>1</v>
      </c>
      <c r="R127" s="129">
        <v>1</v>
      </c>
      <c r="S127" s="130">
        <v>1</v>
      </c>
      <c r="T127" s="129">
        <v>1</v>
      </c>
      <c r="U127" s="130">
        <v>1</v>
      </c>
      <c r="V127" s="129">
        <v>1</v>
      </c>
      <c r="W127" s="130">
        <v>1</v>
      </c>
      <c r="X127" s="155">
        <v>1</v>
      </c>
      <c r="Y127" s="156">
        <v>1</v>
      </c>
      <c r="Z127" s="155">
        <v>1</v>
      </c>
      <c r="AA127" s="156">
        <v>1</v>
      </c>
      <c r="AB127" s="155">
        <v>1</v>
      </c>
      <c r="AC127" s="156">
        <v>1</v>
      </c>
      <c r="AD127" s="155">
        <v>1</v>
      </c>
      <c r="AE127" s="156">
        <v>1</v>
      </c>
      <c r="AF127" s="79">
        <f>F127*3+H127*2+J127*2+L127*2+P127*3+R127*2+T127*2+V127*2+X127*3+Z127*2+AB127*2+AD127*2</f>
        <v>18</v>
      </c>
      <c r="AG127" s="79">
        <f>G127*3+I127*2+K127*2+M127*2+Q127*3+S127*2+U127*2+W127*2+Y127*3+AA127*2+AC127*2+AE127*2</f>
        <v>18</v>
      </c>
      <c r="AH127" s="10">
        <f>SUM(AF127)</f>
        <v>18</v>
      </c>
      <c r="AI127" s="10">
        <f t="shared" si="4"/>
        <v>18</v>
      </c>
      <c r="AK127" s="224"/>
    </row>
    <row r="128" spans="2:37" ht="25.5" customHeight="1" thickTop="1">
      <c r="B128" s="555" t="s">
        <v>5</v>
      </c>
      <c r="C128" s="556"/>
      <c r="D128" s="253">
        <f t="shared" ref="D128:O128" si="5">SUM(D5:D127)</f>
        <v>30</v>
      </c>
      <c r="E128" s="254">
        <f t="shared" si="5"/>
        <v>30</v>
      </c>
      <c r="F128" s="183">
        <f t="shared" si="5"/>
        <v>31</v>
      </c>
      <c r="G128" s="184">
        <f t="shared" si="5"/>
        <v>31</v>
      </c>
      <c r="H128" s="183">
        <f t="shared" si="5"/>
        <v>31</v>
      </c>
      <c r="I128" s="184">
        <f t="shared" si="5"/>
        <v>31</v>
      </c>
      <c r="J128" s="183">
        <f t="shared" si="5"/>
        <v>31</v>
      </c>
      <c r="K128" s="184">
        <f t="shared" si="5"/>
        <v>31</v>
      </c>
      <c r="L128" s="183">
        <f t="shared" si="5"/>
        <v>31</v>
      </c>
      <c r="M128" s="184">
        <f t="shared" si="5"/>
        <v>31</v>
      </c>
      <c r="N128" s="147">
        <f t="shared" si="5"/>
        <v>36</v>
      </c>
      <c r="O128" s="148">
        <f t="shared" si="5"/>
        <v>31</v>
      </c>
      <c r="P128" s="147">
        <f t="shared" ref="P128:AI128" si="6">SUM(P5:P127)</f>
        <v>51</v>
      </c>
      <c r="Q128" s="148">
        <f t="shared" si="6"/>
        <v>35</v>
      </c>
      <c r="R128" s="147">
        <f t="shared" si="6"/>
        <v>48</v>
      </c>
      <c r="S128" s="148">
        <f t="shared" si="6"/>
        <v>40</v>
      </c>
      <c r="T128" s="147">
        <f t="shared" si="6"/>
        <v>48</v>
      </c>
      <c r="U128" s="148">
        <f t="shared" si="6"/>
        <v>36</v>
      </c>
      <c r="V128" s="147">
        <f t="shared" si="6"/>
        <v>52</v>
      </c>
      <c r="W128" s="148">
        <f t="shared" si="6"/>
        <v>38</v>
      </c>
      <c r="X128" s="171">
        <f t="shared" si="6"/>
        <v>31</v>
      </c>
      <c r="Y128" s="172">
        <f t="shared" si="6"/>
        <v>33</v>
      </c>
      <c r="Z128" s="171">
        <f t="shared" si="6"/>
        <v>32</v>
      </c>
      <c r="AA128" s="172">
        <f t="shared" si="6"/>
        <v>32</v>
      </c>
      <c r="AB128" s="171">
        <f t="shared" si="6"/>
        <v>32</v>
      </c>
      <c r="AC128" s="172">
        <f t="shared" si="6"/>
        <v>32</v>
      </c>
      <c r="AD128" s="171">
        <f t="shared" si="6"/>
        <v>32</v>
      </c>
      <c r="AE128" s="172">
        <f t="shared" si="6"/>
        <v>32</v>
      </c>
      <c r="AF128" s="7">
        <f t="shared" si="6"/>
        <v>856</v>
      </c>
      <c r="AG128" s="7">
        <f t="shared" si="6"/>
        <v>850</v>
      </c>
      <c r="AH128" s="7">
        <f t="shared" si="6"/>
        <v>852</v>
      </c>
      <c r="AI128" s="11">
        <f t="shared" si="6"/>
        <v>850</v>
      </c>
    </row>
    <row r="129" spans="2:31" ht="16.5">
      <c r="C129" s="98" t="s">
        <v>147</v>
      </c>
      <c r="D129" s="98"/>
      <c r="E129" s="98"/>
      <c r="N129" s="1">
        <v>31</v>
      </c>
      <c r="O129" s="1">
        <v>31</v>
      </c>
      <c r="P129" s="1">
        <v>31</v>
      </c>
      <c r="Q129" s="1">
        <v>31</v>
      </c>
      <c r="R129" s="1">
        <v>31</v>
      </c>
      <c r="S129" s="1">
        <v>31</v>
      </c>
      <c r="T129" s="1">
        <v>31</v>
      </c>
      <c r="U129" s="1">
        <v>31</v>
      </c>
      <c r="V129" s="1">
        <v>31</v>
      </c>
      <c r="W129" s="1">
        <v>31</v>
      </c>
    </row>
    <row r="130" spans="2:31" ht="16.5">
      <c r="B130" s="2"/>
      <c r="C130" s="98" t="s">
        <v>146</v>
      </c>
      <c r="D130" s="98">
        <v>3</v>
      </c>
      <c r="E130" s="98">
        <v>3</v>
      </c>
      <c r="F130" s="1">
        <v>3</v>
      </c>
      <c r="G130" s="1">
        <v>3</v>
      </c>
      <c r="H130" s="1">
        <v>3</v>
      </c>
      <c r="I130" s="1">
        <v>3</v>
      </c>
      <c r="J130" s="1">
        <v>3</v>
      </c>
      <c r="K130" s="1">
        <v>3</v>
      </c>
      <c r="L130" s="1">
        <v>3</v>
      </c>
      <c r="M130" s="1">
        <v>3</v>
      </c>
      <c r="N130" s="1">
        <v>3</v>
      </c>
      <c r="O130" s="1">
        <v>3</v>
      </c>
      <c r="P130" s="1">
        <v>3</v>
      </c>
      <c r="Q130" s="1">
        <v>3</v>
      </c>
      <c r="R130" s="1">
        <v>3</v>
      </c>
      <c r="S130" s="1">
        <v>3</v>
      </c>
      <c r="T130" s="1">
        <v>3</v>
      </c>
      <c r="U130" s="1">
        <v>3</v>
      </c>
      <c r="V130" s="1">
        <v>3</v>
      </c>
      <c r="W130" s="1">
        <v>3</v>
      </c>
      <c r="X130" s="1">
        <v>2</v>
      </c>
      <c r="Y130" s="1">
        <v>2</v>
      </c>
      <c r="Z130" s="1">
        <v>2</v>
      </c>
      <c r="AA130" s="1">
        <v>2</v>
      </c>
      <c r="AB130" s="1">
        <v>2</v>
      </c>
      <c r="AC130" s="1">
        <v>2</v>
      </c>
      <c r="AD130" s="1">
        <v>2</v>
      </c>
      <c r="AE130" s="1">
        <v>2</v>
      </c>
    </row>
    <row r="131" spans="2:31" ht="16.5">
      <c r="C131" s="98" t="s">
        <v>150</v>
      </c>
      <c r="D131" s="98"/>
      <c r="E131" s="98"/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</row>
    <row r="132" spans="2:31" ht="16.5">
      <c r="C132" s="98" t="s">
        <v>149</v>
      </c>
      <c r="D132" s="98"/>
      <c r="E132" s="98"/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</row>
    <row r="133" spans="2:31" ht="16.5">
      <c r="C133" s="98" t="s">
        <v>191</v>
      </c>
      <c r="D133" s="3">
        <v>1</v>
      </c>
      <c r="E133" s="3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</row>
    <row r="158" spans="3:5">
      <c r="C158" s="1"/>
      <c r="D158" s="1"/>
      <c r="E158" s="1"/>
    </row>
  </sheetData>
  <mergeCells count="32">
    <mergeCell ref="G1:Z1"/>
    <mergeCell ref="AH2:AI3"/>
    <mergeCell ref="AK2:AK3"/>
    <mergeCell ref="D3:E3"/>
    <mergeCell ref="F3:G3"/>
    <mergeCell ref="H3:I3"/>
    <mergeCell ref="J3:K3"/>
    <mergeCell ref="L3:M3"/>
    <mergeCell ref="P3:Q3"/>
    <mergeCell ref="R3:S3"/>
    <mergeCell ref="T3:U3"/>
    <mergeCell ref="D2:M2"/>
    <mergeCell ref="X2:AD2"/>
    <mergeCell ref="AF2:AG3"/>
    <mergeCell ref="V3:W3"/>
    <mergeCell ref="X3:Y3"/>
    <mergeCell ref="AB3:AC3"/>
    <mergeCell ref="N2:W2"/>
    <mergeCell ref="Z3:AA3"/>
    <mergeCell ref="AD3:AE3"/>
    <mergeCell ref="B5:B13"/>
    <mergeCell ref="B82:B103"/>
    <mergeCell ref="B104:B109"/>
    <mergeCell ref="B122:B127"/>
    <mergeCell ref="B128:C128"/>
    <mergeCell ref="N3:O3"/>
    <mergeCell ref="B63:B81"/>
    <mergeCell ref="B44:B62"/>
    <mergeCell ref="B2:B4"/>
    <mergeCell ref="C2:C4"/>
    <mergeCell ref="B14:B36"/>
    <mergeCell ref="B37:B43"/>
  </mergeCells>
  <phoneticPr fontId="2" type="noConversion"/>
  <printOptions horizontalCentered="1"/>
  <pageMargins left="0.15748031496062992" right="0.15748031496062992" top="0.19685039370078741" bottom="0.22" header="0.15748031496062992" footer="0.17"/>
  <pageSetup paperSize="12" scale="74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B1:AO170"/>
  <sheetViews>
    <sheetView tabSelected="1" topLeftCell="A40" zoomScale="85" zoomScaleNormal="85" workbookViewId="0">
      <selection activeCell="E66" sqref="E66"/>
    </sheetView>
  </sheetViews>
  <sheetFormatPr defaultColWidth="9" defaultRowHeight="15"/>
  <cols>
    <col min="1" max="1" width="0.875" style="1" customWidth="1"/>
    <col min="2" max="2" width="7.875" style="1" customWidth="1"/>
    <col min="3" max="3" width="37.5" style="3" bestFit="1" customWidth="1"/>
    <col min="4" max="5" width="3.625" style="3" customWidth="1"/>
    <col min="6" max="33" width="3.625" style="1" customWidth="1"/>
    <col min="34" max="35" width="4.625" style="1" customWidth="1"/>
    <col min="36" max="37" width="6.875" style="1" bestFit="1" customWidth="1"/>
    <col min="38" max="38" width="2.875" style="1" customWidth="1"/>
    <col min="39" max="39" width="22" style="2" customWidth="1"/>
    <col min="40" max="40" width="8.75" style="1" customWidth="1"/>
    <col min="41" max="16384" width="9" style="1"/>
  </cols>
  <sheetData>
    <row r="1" spans="2:41" ht="27.75">
      <c r="B1" s="24" t="s">
        <v>206</v>
      </c>
      <c r="F1" s="4"/>
      <c r="G1" s="573" t="s">
        <v>311</v>
      </c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H1" s="4"/>
      <c r="AI1" s="4"/>
      <c r="AJ1" s="4"/>
      <c r="AK1" s="4"/>
    </row>
    <row r="2" spans="2:41" ht="16.5">
      <c r="B2" s="560" t="s">
        <v>10</v>
      </c>
      <c r="C2" s="563" t="s">
        <v>1</v>
      </c>
      <c r="D2" s="584" t="s">
        <v>93</v>
      </c>
      <c r="E2" s="585"/>
      <c r="F2" s="585"/>
      <c r="G2" s="585"/>
      <c r="H2" s="585"/>
      <c r="I2" s="585"/>
      <c r="J2" s="585"/>
      <c r="K2" s="585"/>
      <c r="L2" s="585"/>
      <c r="M2" s="576"/>
      <c r="N2" s="570" t="s">
        <v>92</v>
      </c>
      <c r="O2" s="571"/>
      <c r="P2" s="571"/>
      <c r="Q2" s="571"/>
      <c r="R2" s="571"/>
      <c r="S2" s="571"/>
      <c r="T2" s="571"/>
      <c r="U2" s="571"/>
      <c r="V2" s="571"/>
      <c r="W2" s="572"/>
      <c r="X2" s="586" t="s">
        <v>2</v>
      </c>
      <c r="Y2" s="571"/>
      <c r="Z2" s="571"/>
      <c r="AA2" s="571"/>
      <c r="AB2" s="571"/>
      <c r="AC2" s="571"/>
      <c r="AD2" s="571"/>
      <c r="AE2" s="571"/>
      <c r="AF2" s="571"/>
      <c r="AG2" s="572"/>
      <c r="AH2" s="589" t="s">
        <v>3</v>
      </c>
      <c r="AI2" s="576"/>
      <c r="AJ2" s="575" t="s">
        <v>26</v>
      </c>
      <c r="AK2" s="576"/>
      <c r="AM2" s="579"/>
    </row>
    <row r="3" spans="2:41" ht="16.5">
      <c r="B3" s="561"/>
      <c r="C3" s="561"/>
      <c r="D3" s="581" t="s">
        <v>158</v>
      </c>
      <c r="E3" s="572"/>
      <c r="F3" s="582" t="s">
        <v>6</v>
      </c>
      <c r="G3" s="583"/>
      <c r="H3" s="582" t="s">
        <v>7</v>
      </c>
      <c r="I3" s="583"/>
      <c r="J3" s="582" t="s">
        <v>8</v>
      </c>
      <c r="K3" s="583"/>
      <c r="L3" s="582" t="s">
        <v>242</v>
      </c>
      <c r="M3" s="583"/>
      <c r="N3" s="557" t="s">
        <v>158</v>
      </c>
      <c r="O3" s="558"/>
      <c r="P3" s="557" t="s">
        <v>6</v>
      </c>
      <c r="Q3" s="558"/>
      <c r="R3" s="557" t="s">
        <v>7</v>
      </c>
      <c r="S3" s="558"/>
      <c r="T3" s="557" t="s">
        <v>8</v>
      </c>
      <c r="U3" s="558"/>
      <c r="V3" s="557" t="s">
        <v>242</v>
      </c>
      <c r="W3" s="558"/>
      <c r="X3" s="568" t="s">
        <v>316</v>
      </c>
      <c r="Y3" s="569"/>
      <c r="Z3" s="568" t="s">
        <v>6</v>
      </c>
      <c r="AA3" s="569"/>
      <c r="AB3" s="568" t="s">
        <v>7</v>
      </c>
      <c r="AC3" s="569"/>
      <c r="AD3" s="568" t="s">
        <v>8</v>
      </c>
      <c r="AE3" s="569"/>
      <c r="AF3" s="568" t="s">
        <v>242</v>
      </c>
      <c r="AG3" s="569"/>
      <c r="AH3" s="577"/>
      <c r="AI3" s="578"/>
      <c r="AJ3" s="577"/>
      <c r="AK3" s="578"/>
      <c r="AM3" s="580"/>
    </row>
    <row r="4" spans="2:41" ht="17.25" thickBot="1">
      <c r="B4" s="562"/>
      <c r="C4" s="562"/>
      <c r="D4" s="227" t="s">
        <v>24</v>
      </c>
      <c r="E4" s="227" t="s">
        <v>25</v>
      </c>
      <c r="F4" s="62" t="s">
        <v>24</v>
      </c>
      <c r="G4" s="63" t="s">
        <v>25</v>
      </c>
      <c r="H4" s="62" t="s">
        <v>24</v>
      </c>
      <c r="I4" s="63" t="s">
        <v>25</v>
      </c>
      <c r="J4" s="62" t="s">
        <v>24</v>
      </c>
      <c r="K4" s="63" t="s">
        <v>25</v>
      </c>
      <c r="L4" s="62" t="s">
        <v>24</v>
      </c>
      <c r="M4" s="63" t="s">
        <v>25</v>
      </c>
      <c r="N4" s="64" t="s">
        <v>24</v>
      </c>
      <c r="O4" s="65" t="s">
        <v>25</v>
      </c>
      <c r="P4" s="64" t="s">
        <v>24</v>
      </c>
      <c r="Q4" s="65" t="s">
        <v>25</v>
      </c>
      <c r="R4" s="64" t="s">
        <v>24</v>
      </c>
      <c r="S4" s="65" t="s">
        <v>25</v>
      </c>
      <c r="T4" s="64" t="s">
        <v>24</v>
      </c>
      <c r="U4" s="65" t="s">
        <v>25</v>
      </c>
      <c r="V4" s="64" t="s">
        <v>24</v>
      </c>
      <c r="W4" s="65" t="s">
        <v>25</v>
      </c>
      <c r="X4" s="66" t="s">
        <v>24</v>
      </c>
      <c r="Y4" s="67" t="s">
        <v>25</v>
      </c>
      <c r="Z4" s="66" t="s">
        <v>24</v>
      </c>
      <c r="AA4" s="67" t="s">
        <v>25</v>
      </c>
      <c r="AB4" s="66" t="s">
        <v>24</v>
      </c>
      <c r="AC4" s="67" t="s">
        <v>25</v>
      </c>
      <c r="AD4" s="205" t="s">
        <v>24</v>
      </c>
      <c r="AE4" s="206" t="s">
        <v>25</v>
      </c>
      <c r="AF4" s="205" t="s">
        <v>24</v>
      </c>
      <c r="AG4" s="206" t="s">
        <v>25</v>
      </c>
      <c r="AH4" s="70" t="s">
        <v>24</v>
      </c>
      <c r="AI4" s="71" t="s">
        <v>25</v>
      </c>
      <c r="AJ4" s="68" t="s">
        <v>24</v>
      </c>
      <c r="AK4" s="69" t="s">
        <v>25</v>
      </c>
    </row>
    <row r="5" spans="2:41" ht="25.35" customHeight="1" thickTop="1" thickBot="1">
      <c r="B5" s="564" t="s">
        <v>20</v>
      </c>
      <c r="C5" s="59" t="s">
        <v>52</v>
      </c>
      <c r="D5" s="101">
        <v>3</v>
      </c>
      <c r="E5" s="102">
        <v>3</v>
      </c>
      <c r="F5" s="101">
        <v>3</v>
      </c>
      <c r="G5" s="102">
        <v>3</v>
      </c>
      <c r="H5" s="101">
        <v>3</v>
      </c>
      <c r="I5" s="102">
        <v>3</v>
      </c>
      <c r="J5" s="101">
        <v>3</v>
      </c>
      <c r="K5" s="102">
        <v>3</v>
      </c>
      <c r="L5" s="101">
        <v>3</v>
      </c>
      <c r="M5" s="102">
        <v>3</v>
      </c>
      <c r="N5" s="128">
        <v>3</v>
      </c>
      <c r="O5" s="139">
        <v>3</v>
      </c>
      <c r="P5" s="128">
        <v>3</v>
      </c>
      <c r="Q5" s="139">
        <v>3</v>
      </c>
      <c r="R5" s="128">
        <v>3</v>
      </c>
      <c r="S5" s="139">
        <v>3</v>
      </c>
      <c r="T5" s="128">
        <v>3</v>
      </c>
      <c r="U5" s="139">
        <v>3</v>
      </c>
      <c r="V5" s="128">
        <v>3</v>
      </c>
      <c r="W5" s="139">
        <v>3</v>
      </c>
      <c r="X5" s="155">
        <v>2</v>
      </c>
      <c r="Y5" s="156">
        <v>2</v>
      </c>
      <c r="Z5" s="153">
        <v>2</v>
      </c>
      <c r="AA5" s="154">
        <v>2</v>
      </c>
      <c r="AB5" s="153">
        <v>2</v>
      </c>
      <c r="AC5" s="154">
        <v>2</v>
      </c>
      <c r="AD5" s="155">
        <v>2</v>
      </c>
      <c r="AE5" s="156">
        <v>2</v>
      </c>
      <c r="AF5" s="155">
        <v>2</v>
      </c>
      <c r="AG5" s="156">
        <v>2</v>
      </c>
      <c r="AH5" s="75">
        <f>F5*2+H5*2+J5*2+L5*2+P5*2+R5*2+T5*2+V5*2+Z5*2+AB5*2+AD5*2+AF5*2+D5+N5+X5</f>
        <v>72</v>
      </c>
      <c r="AI5" s="75">
        <f>G5*2+I5*2+K5*2+M5*2+Q5*2+S5*2+U5*2+W5*2+AA5*2+AC5*2+AE5*2+AG5*2+E5+O5+Y5</f>
        <v>72</v>
      </c>
      <c r="AJ5" s="5">
        <f>SUM(AH5:AH13)</f>
        <v>126</v>
      </c>
      <c r="AK5" s="5">
        <f>SUM(AI5:AI13)</f>
        <v>130</v>
      </c>
    </row>
    <row r="6" spans="2:41" ht="25.35" customHeight="1" thickTop="1">
      <c r="B6" s="565"/>
      <c r="C6" s="43" t="s">
        <v>70</v>
      </c>
      <c r="D6" s="101">
        <v>1</v>
      </c>
      <c r="E6" s="102">
        <v>1</v>
      </c>
      <c r="F6" s="103">
        <v>1</v>
      </c>
      <c r="G6" s="104">
        <v>1</v>
      </c>
      <c r="H6" s="103">
        <v>1</v>
      </c>
      <c r="I6" s="104">
        <v>1</v>
      </c>
      <c r="J6" s="103">
        <v>1</v>
      </c>
      <c r="K6" s="104">
        <v>1</v>
      </c>
      <c r="L6" s="103">
        <v>1</v>
      </c>
      <c r="M6" s="104">
        <v>1</v>
      </c>
      <c r="N6" s="129"/>
      <c r="O6" s="130"/>
      <c r="P6" s="129"/>
      <c r="Q6" s="130"/>
      <c r="R6" s="129"/>
      <c r="S6" s="130"/>
      <c r="T6" s="129"/>
      <c r="U6" s="130"/>
      <c r="V6" s="129"/>
      <c r="W6" s="130"/>
      <c r="X6" s="155"/>
      <c r="Y6" s="156"/>
      <c r="Z6" s="155"/>
      <c r="AA6" s="156"/>
      <c r="AB6" s="155"/>
      <c r="AC6" s="156"/>
      <c r="AD6" s="155"/>
      <c r="AE6" s="156"/>
      <c r="AF6" s="155"/>
      <c r="AG6" s="156"/>
      <c r="AH6" s="79">
        <f>F6*2+H6*2+J6*2+L6*2+P6*3+R6*2+T6*2+V6*2+Z6*3+AB6*2+AD6*2+AF6*2+D6</f>
        <v>9</v>
      </c>
      <c r="AI6" s="79">
        <f>G6*2+I6*2+K6*2+M6*2+Q6*3+S6*2+U6*2+W6*2+AA6*3+AC6*2+AE6*2+AG6*2+E6</f>
        <v>9</v>
      </c>
      <c r="AJ6" s="8"/>
      <c r="AK6" s="8"/>
      <c r="AM6" s="226"/>
    </row>
    <row r="7" spans="2:41" ht="25.35" customHeight="1">
      <c r="B7" s="565"/>
      <c r="C7" s="43" t="s">
        <v>224</v>
      </c>
      <c r="D7" s="229"/>
      <c r="E7" s="230"/>
      <c r="F7" s="103"/>
      <c r="G7" s="104"/>
      <c r="H7" s="103"/>
      <c r="I7" s="104"/>
      <c r="J7" s="103"/>
      <c r="K7" s="104"/>
      <c r="L7" s="103"/>
      <c r="M7" s="104"/>
      <c r="N7" s="129"/>
      <c r="O7" s="130"/>
      <c r="P7" s="129"/>
      <c r="Q7" s="130"/>
      <c r="R7" s="129"/>
      <c r="S7" s="130"/>
      <c r="T7" s="129"/>
      <c r="U7" s="130"/>
      <c r="V7" s="129"/>
      <c r="W7" s="130"/>
      <c r="X7" s="155">
        <v>1</v>
      </c>
      <c r="Y7" s="156">
        <v>1</v>
      </c>
      <c r="Z7" s="155">
        <v>1</v>
      </c>
      <c r="AA7" s="156">
        <v>1</v>
      </c>
      <c r="AB7" s="155">
        <v>1</v>
      </c>
      <c r="AC7" s="156">
        <v>1</v>
      </c>
      <c r="AD7" s="155">
        <v>1</v>
      </c>
      <c r="AE7" s="156">
        <v>1</v>
      </c>
      <c r="AF7" s="155">
        <v>1</v>
      </c>
      <c r="AG7" s="156">
        <v>1</v>
      </c>
      <c r="AH7" s="79">
        <f>F7*3+H7*2+J7*2+L7*2+P7*3+R7*2+T7*2+V7*2+Z7*2+AB7*2+AD7*2+AF7*2+X7</f>
        <v>9</v>
      </c>
      <c r="AI7" s="79">
        <f>G7*3+I7*2+K7*2+M7*2+Q7*3+S7*2+U7*2+W7*2+AA7*2+AC7*2+AE7*2+AG7*2+Y7</f>
        <v>9</v>
      </c>
      <c r="AJ7" s="8"/>
      <c r="AK7" s="8"/>
      <c r="AM7" s="226"/>
    </row>
    <row r="8" spans="2:41" ht="25.35" customHeight="1">
      <c r="B8" s="565"/>
      <c r="C8" s="43" t="s">
        <v>73</v>
      </c>
      <c r="D8" s="229"/>
      <c r="E8" s="230"/>
      <c r="F8" s="103"/>
      <c r="G8" s="104"/>
      <c r="H8" s="103"/>
      <c r="I8" s="104"/>
      <c r="J8" s="103"/>
      <c r="K8" s="104"/>
      <c r="L8" s="103"/>
      <c r="M8" s="104"/>
      <c r="N8" s="129">
        <v>1</v>
      </c>
      <c r="O8" s="130">
        <v>1</v>
      </c>
      <c r="P8" s="129">
        <v>1</v>
      </c>
      <c r="Q8" s="130">
        <v>1</v>
      </c>
      <c r="R8" s="129">
        <v>1</v>
      </c>
      <c r="S8" s="130">
        <v>1</v>
      </c>
      <c r="T8" s="129">
        <v>1</v>
      </c>
      <c r="U8" s="130">
        <v>1</v>
      </c>
      <c r="V8" s="129">
        <v>1</v>
      </c>
      <c r="W8" s="130">
        <v>1</v>
      </c>
      <c r="X8" s="155"/>
      <c r="Y8" s="156"/>
      <c r="Z8" s="155"/>
      <c r="AA8" s="156"/>
      <c r="AB8" s="155"/>
      <c r="AC8" s="156"/>
      <c r="AD8" s="155"/>
      <c r="AE8" s="156"/>
      <c r="AF8" s="155"/>
      <c r="AG8" s="156"/>
      <c r="AH8" s="79">
        <f>P8*2+R8*2+T8*2+V8*2+Z8*3+AB8*2+AD8*2+AF8*2+N8</f>
        <v>9</v>
      </c>
      <c r="AI8" s="79">
        <f>Q8*2+S8*2+U8*2+W8*2+O8</f>
        <v>9</v>
      </c>
      <c r="AJ8" s="8"/>
      <c r="AK8" s="8"/>
      <c r="AM8" s="226"/>
    </row>
    <row r="9" spans="2:41" ht="25.35" customHeight="1">
      <c r="B9" s="566"/>
      <c r="C9" s="43" t="s">
        <v>240</v>
      </c>
      <c r="D9" s="231"/>
      <c r="E9" s="232"/>
      <c r="F9" s="115"/>
      <c r="G9" s="116"/>
      <c r="H9" s="115"/>
      <c r="I9" s="116"/>
      <c r="J9" s="115"/>
      <c r="K9" s="116"/>
      <c r="L9" s="115"/>
      <c r="M9" s="116"/>
      <c r="N9" s="140"/>
      <c r="O9" s="141"/>
      <c r="P9" s="140"/>
      <c r="Q9" s="141"/>
      <c r="R9" s="140"/>
      <c r="S9" s="141"/>
      <c r="T9" s="140"/>
      <c r="U9" s="141"/>
      <c r="V9" s="140"/>
      <c r="W9" s="141"/>
      <c r="X9" s="167">
        <v>1</v>
      </c>
      <c r="Y9" s="168">
        <v>1</v>
      </c>
      <c r="Z9" s="167">
        <v>1</v>
      </c>
      <c r="AA9" s="168">
        <v>1</v>
      </c>
      <c r="AB9" s="167">
        <v>1</v>
      </c>
      <c r="AC9" s="168">
        <v>1</v>
      </c>
      <c r="AD9" s="167">
        <v>1</v>
      </c>
      <c r="AE9" s="168">
        <v>1</v>
      </c>
      <c r="AF9" s="167">
        <v>1</v>
      </c>
      <c r="AG9" s="168">
        <v>1</v>
      </c>
      <c r="AH9" s="83">
        <f>X9+Z9*2+AB9*2+AD9*2+AF9*2</f>
        <v>9</v>
      </c>
      <c r="AI9" s="83">
        <f>Y9+AA9*2+AC9*2+AE9*2+AG9*2</f>
        <v>9</v>
      </c>
      <c r="AJ9" s="96"/>
      <c r="AK9" s="96"/>
      <c r="AM9" s="26"/>
    </row>
    <row r="10" spans="2:41" ht="25.35" customHeight="1">
      <c r="B10" s="566"/>
      <c r="C10" s="43" t="s">
        <v>241</v>
      </c>
      <c r="D10" s="233"/>
      <c r="E10" s="234"/>
      <c r="F10" s="103"/>
      <c r="G10" s="104"/>
      <c r="H10" s="103"/>
      <c r="I10" s="104"/>
      <c r="J10" s="103"/>
      <c r="K10" s="104"/>
      <c r="L10" s="103"/>
      <c r="M10" s="104"/>
      <c r="N10" s="129"/>
      <c r="O10" s="130"/>
      <c r="P10" s="129"/>
      <c r="Q10" s="130"/>
      <c r="R10" s="129">
        <v>1</v>
      </c>
      <c r="S10" s="130">
        <v>1</v>
      </c>
      <c r="T10" s="129">
        <v>1</v>
      </c>
      <c r="U10" s="130">
        <v>1</v>
      </c>
      <c r="V10" s="129"/>
      <c r="W10" s="130"/>
      <c r="X10" s="155">
        <v>1</v>
      </c>
      <c r="Y10" s="156">
        <v>1</v>
      </c>
      <c r="Z10" s="155">
        <v>1</v>
      </c>
      <c r="AA10" s="156">
        <v>1</v>
      </c>
      <c r="AB10" s="155"/>
      <c r="AC10" s="156"/>
      <c r="AD10" s="155"/>
      <c r="AE10" s="156"/>
      <c r="AF10" s="155">
        <v>1</v>
      </c>
      <c r="AG10" s="156">
        <v>1</v>
      </c>
      <c r="AH10" s="79">
        <f>P10*2+R10*2+T10*2+V10*2+N10+X10+Z10*2+AF10*2</f>
        <v>9</v>
      </c>
      <c r="AI10" s="79">
        <f>Q10*2+S10*2+U10*2+W10*2+O10+Y10+AA10*2+AG10*2</f>
        <v>9</v>
      </c>
      <c r="AJ10" s="96"/>
      <c r="AK10" s="96"/>
      <c r="AM10" s="26"/>
    </row>
    <row r="11" spans="2:41" ht="25.35" customHeight="1">
      <c r="B11" s="566"/>
      <c r="C11" s="15" t="s">
        <v>183</v>
      </c>
      <c r="D11" s="109"/>
      <c r="E11" s="110"/>
      <c r="F11" s="109"/>
      <c r="G11" s="110"/>
      <c r="H11" s="109"/>
      <c r="I11" s="110"/>
      <c r="J11" s="109"/>
      <c r="K11" s="110"/>
      <c r="L11" s="109"/>
      <c r="M11" s="110"/>
      <c r="N11" s="135"/>
      <c r="O11" s="136"/>
      <c r="P11" s="135"/>
      <c r="Q11" s="136"/>
      <c r="R11" s="135"/>
      <c r="S11" s="136"/>
      <c r="T11" s="135"/>
      <c r="U11" s="136"/>
      <c r="V11" s="135"/>
      <c r="W11" s="136"/>
      <c r="X11" s="161">
        <v>1</v>
      </c>
      <c r="Y11" s="162">
        <v>1</v>
      </c>
      <c r="Z11" s="161">
        <v>1</v>
      </c>
      <c r="AA11" s="162">
        <v>1</v>
      </c>
      <c r="AB11" s="161">
        <v>1</v>
      </c>
      <c r="AC11" s="162">
        <v>1</v>
      </c>
      <c r="AD11" s="161">
        <v>1</v>
      </c>
      <c r="AE11" s="162">
        <v>1</v>
      </c>
      <c r="AF11" s="161">
        <v>1</v>
      </c>
      <c r="AG11" s="162">
        <v>1</v>
      </c>
      <c r="AH11" s="81">
        <f>Z11*2+AB11*2+AD11*2+AF11*2+X11</f>
        <v>9</v>
      </c>
      <c r="AI11" s="81">
        <f>AA11*2+AC11*2+AE11*2+AG11*2+Y11</f>
        <v>9</v>
      </c>
      <c r="AJ11" s="99"/>
      <c r="AK11" s="96"/>
      <c r="AM11" s="26"/>
    </row>
    <row r="12" spans="2:41" ht="25.35" customHeight="1">
      <c r="B12" s="566"/>
      <c r="C12" s="217" t="s">
        <v>198</v>
      </c>
      <c r="D12" s="109"/>
      <c r="E12" s="110"/>
      <c r="F12" s="109"/>
      <c r="G12" s="110"/>
      <c r="H12" s="109"/>
      <c r="I12" s="110"/>
      <c r="J12" s="109"/>
      <c r="K12" s="110"/>
      <c r="L12" s="109"/>
      <c r="M12" s="110"/>
      <c r="N12" s="135"/>
      <c r="O12" s="136"/>
      <c r="P12" s="135"/>
      <c r="Q12" s="136"/>
      <c r="R12" s="135"/>
      <c r="S12" s="136"/>
      <c r="T12" s="135"/>
      <c r="U12" s="136">
        <v>2</v>
      </c>
      <c r="V12" s="135"/>
      <c r="W12" s="136"/>
      <c r="X12" s="161"/>
      <c r="Y12" s="162"/>
      <c r="Z12" s="161"/>
      <c r="AA12" s="162"/>
      <c r="AB12" s="161"/>
      <c r="AC12" s="162"/>
      <c r="AD12" s="161"/>
      <c r="AE12" s="162"/>
      <c r="AF12" s="161"/>
      <c r="AG12" s="162"/>
      <c r="AH12" s="81">
        <v>0</v>
      </c>
      <c r="AI12" s="81">
        <v>2</v>
      </c>
      <c r="AJ12" s="99"/>
      <c r="AK12" s="96"/>
      <c r="AM12" s="26"/>
    </row>
    <row r="13" spans="2:41" ht="25.35" customHeight="1" thickBot="1">
      <c r="B13" s="567"/>
      <c r="C13" s="217" t="s">
        <v>318</v>
      </c>
      <c r="D13" s="109"/>
      <c r="E13" s="112"/>
      <c r="F13" s="111"/>
      <c r="G13" s="112"/>
      <c r="H13" s="111"/>
      <c r="I13" s="112"/>
      <c r="J13" s="111"/>
      <c r="K13" s="112"/>
      <c r="L13" s="111"/>
      <c r="M13" s="112"/>
      <c r="N13" s="137"/>
      <c r="O13" s="138"/>
      <c r="P13" s="137"/>
      <c r="Q13" s="138"/>
      <c r="R13" s="137"/>
      <c r="S13" s="138">
        <v>2</v>
      </c>
      <c r="T13" s="137"/>
      <c r="U13" s="138"/>
      <c r="V13" s="137"/>
      <c r="W13" s="138">
        <v>2</v>
      </c>
      <c r="X13" s="163"/>
      <c r="Y13" s="164"/>
      <c r="Z13" s="163"/>
      <c r="AA13" s="164"/>
      <c r="AB13" s="163"/>
      <c r="AC13" s="164"/>
      <c r="AD13" s="163"/>
      <c r="AE13" s="164"/>
      <c r="AF13" s="163"/>
      <c r="AG13" s="164"/>
      <c r="AH13" s="80">
        <v>0</v>
      </c>
      <c r="AI13" s="80">
        <v>2</v>
      </c>
      <c r="AJ13" s="72"/>
      <c r="AK13" s="20"/>
      <c r="AM13" s="26"/>
    </row>
    <row r="14" spans="2:41" ht="25.35" customHeight="1" thickTop="1">
      <c r="B14" s="550" t="s">
        <v>4</v>
      </c>
      <c r="C14" s="59" t="s">
        <v>62</v>
      </c>
      <c r="D14" s="101">
        <v>2</v>
      </c>
      <c r="E14" s="102">
        <v>2</v>
      </c>
      <c r="F14" s="101">
        <v>2</v>
      </c>
      <c r="G14" s="102">
        <v>2</v>
      </c>
      <c r="H14" s="101">
        <v>2</v>
      </c>
      <c r="I14" s="102">
        <v>2</v>
      </c>
      <c r="J14" s="101">
        <v>2</v>
      </c>
      <c r="K14" s="102">
        <v>2</v>
      </c>
      <c r="L14" s="101">
        <v>2</v>
      </c>
      <c r="M14" s="102">
        <v>2</v>
      </c>
      <c r="N14" s="128">
        <v>2</v>
      </c>
      <c r="O14" s="139">
        <v>2</v>
      </c>
      <c r="P14" s="128">
        <v>2</v>
      </c>
      <c r="Q14" s="139">
        <v>2</v>
      </c>
      <c r="R14" s="128">
        <v>2</v>
      </c>
      <c r="S14" s="139">
        <v>2</v>
      </c>
      <c r="T14" s="128">
        <v>2</v>
      </c>
      <c r="U14" s="139">
        <v>2</v>
      </c>
      <c r="V14" s="128">
        <v>2</v>
      </c>
      <c r="W14" s="139">
        <v>2</v>
      </c>
      <c r="X14" s="155">
        <v>2</v>
      </c>
      <c r="Y14" s="156">
        <v>2</v>
      </c>
      <c r="Z14" s="155">
        <v>2</v>
      </c>
      <c r="AA14" s="156">
        <v>2</v>
      </c>
      <c r="AB14" s="155">
        <v>2</v>
      </c>
      <c r="AC14" s="156">
        <v>2</v>
      </c>
      <c r="AD14" s="155">
        <v>2</v>
      </c>
      <c r="AE14" s="156">
        <v>2</v>
      </c>
      <c r="AF14" s="155">
        <v>2</v>
      </c>
      <c r="AG14" s="156">
        <v>2</v>
      </c>
      <c r="AH14" s="75">
        <f>F14*2+H14*2+J14*2+L14*2+P14*2+R14*2+T14*2+V14*2+Z14*2+AB14*2+AD14*2+AF14*2+D14+N14+X14</f>
        <v>54</v>
      </c>
      <c r="AI14" s="75">
        <f>G14*2+I14*2+K14*2+M14*2+Q14*2+S14*2+U14*2+W14*2+AA14*2+AC14*2+AE14*2+AG14*2+E14+O14+Y14</f>
        <v>54</v>
      </c>
      <c r="AJ14" s="5">
        <f>SUM(AH14:AH36)-2</f>
        <v>135</v>
      </c>
      <c r="AK14" s="5">
        <f>SUM(AI14:AI36)</f>
        <v>129</v>
      </c>
      <c r="AN14" s="6" t="s">
        <v>443</v>
      </c>
      <c r="AO14" s="6" t="s">
        <v>444</v>
      </c>
    </row>
    <row r="15" spans="2:41" ht="25.35" customHeight="1">
      <c r="B15" s="551"/>
      <c r="C15" s="43" t="s">
        <v>68</v>
      </c>
      <c r="D15" s="103">
        <v>1</v>
      </c>
      <c r="E15" s="104">
        <v>1</v>
      </c>
      <c r="F15" s="103">
        <v>1</v>
      </c>
      <c r="G15" s="104">
        <v>1</v>
      </c>
      <c r="H15" s="103">
        <v>1</v>
      </c>
      <c r="I15" s="104">
        <v>1</v>
      </c>
      <c r="J15" s="103">
        <v>1</v>
      </c>
      <c r="K15" s="104">
        <v>1</v>
      </c>
      <c r="L15" s="103"/>
      <c r="M15" s="104"/>
      <c r="N15" s="129"/>
      <c r="O15" s="130"/>
      <c r="P15" s="129"/>
      <c r="Q15" s="130"/>
      <c r="R15" s="129"/>
      <c r="S15" s="130"/>
      <c r="T15" s="129"/>
      <c r="U15" s="130"/>
      <c r="V15" s="129"/>
      <c r="W15" s="130"/>
      <c r="X15" s="155"/>
      <c r="Y15" s="156"/>
      <c r="Z15" s="155"/>
      <c r="AA15" s="156"/>
      <c r="AB15" s="155"/>
      <c r="AC15" s="156"/>
      <c r="AD15" s="155"/>
      <c r="AE15" s="156"/>
      <c r="AF15" s="155"/>
      <c r="AG15" s="156"/>
      <c r="AH15" s="79">
        <f>F15*2+H15*2+J15*2+D15</f>
        <v>7</v>
      </c>
      <c r="AI15" s="79">
        <f>G15*2+I15*2+K15*2+E15</f>
        <v>7</v>
      </c>
      <c r="AJ15" s="96"/>
      <c r="AK15" s="8"/>
      <c r="AM15" s="484" t="s">
        <v>448</v>
      </c>
      <c r="AN15" s="1">
        <f>AH14+AH15+AH22+AH25</f>
        <v>89</v>
      </c>
      <c r="AO15" s="1">
        <f>AI14+AI15+AI22+AI25</f>
        <v>89</v>
      </c>
    </row>
    <row r="16" spans="2:41" ht="25.35" customHeight="1">
      <c r="B16" s="551"/>
      <c r="C16" s="462" t="s">
        <v>59</v>
      </c>
      <c r="D16" s="463"/>
      <c r="E16" s="464"/>
      <c r="F16" s="127"/>
      <c r="G16" s="188"/>
      <c r="H16" s="127"/>
      <c r="I16" s="188"/>
      <c r="J16" s="127"/>
      <c r="K16" s="188"/>
      <c r="L16" s="127">
        <v>2</v>
      </c>
      <c r="M16" s="188">
        <v>2</v>
      </c>
      <c r="N16" s="465"/>
      <c r="O16" s="466"/>
      <c r="P16" s="465"/>
      <c r="Q16" s="466"/>
      <c r="R16" s="465"/>
      <c r="S16" s="466"/>
      <c r="T16" s="465"/>
      <c r="U16" s="466"/>
      <c r="V16" s="465"/>
      <c r="W16" s="466"/>
      <c r="X16" s="467"/>
      <c r="Y16" s="468"/>
      <c r="Z16" s="467"/>
      <c r="AA16" s="468"/>
      <c r="AB16" s="467"/>
      <c r="AC16" s="468"/>
      <c r="AD16" s="467"/>
      <c r="AE16" s="468"/>
      <c r="AF16" s="467"/>
      <c r="AG16" s="468"/>
      <c r="AH16" s="469">
        <f t="shared" ref="AH16:AI21" si="0">F16*3+H16*2+J16*2+L16*2+P16*3+R16*2+T16*2+V16*2+Z16*3+AB16*2+AD16*2+AF16*2</f>
        <v>4</v>
      </c>
      <c r="AI16" s="469">
        <f t="shared" si="0"/>
        <v>4</v>
      </c>
      <c r="AJ16" s="96"/>
      <c r="AK16" s="8"/>
      <c r="AM16" s="224" t="s">
        <v>449</v>
      </c>
      <c r="AN16" s="1">
        <f>AJ14-AN15</f>
        <v>46</v>
      </c>
      <c r="AO16" s="1">
        <f>AK14-AO15</f>
        <v>40</v>
      </c>
    </row>
    <row r="17" spans="2:39" ht="25.35" customHeight="1">
      <c r="B17" s="551"/>
      <c r="C17" s="462" t="s">
        <v>60</v>
      </c>
      <c r="D17" s="463"/>
      <c r="E17" s="464"/>
      <c r="F17" s="127"/>
      <c r="G17" s="188"/>
      <c r="H17" s="127"/>
      <c r="I17" s="188"/>
      <c r="J17" s="127"/>
      <c r="K17" s="188"/>
      <c r="L17" s="127">
        <v>2</v>
      </c>
      <c r="M17" s="188">
        <v>2</v>
      </c>
      <c r="N17" s="465"/>
      <c r="O17" s="466"/>
      <c r="P17" s="465"/>
      <c r="Q17" s="466"/>
      <c r="R17" s="465"/>
      <c r="S17" s="466"/>
      <c r="T17" s="465"/>
      <c r="U17" s="466"/>
      <c r="V17" s="465"/>
      <c r="W17" s="466"/>
      <c r="X17" s="467"/>
      <c r="Y17" s="468"/>
      <c r="Z17" s="467"/>
      <c r="AA17" s="468"/>
      <c r="AB17" s="467"/>
      <c r="AC17" s="468"/>
      <c r="AD17" s="467"/>
      <c r="AE17" s="468"/>
      <c r="AF17" s="467"/>
      <c r="AG17" s="468"/>
      <c r="AH17" s="469">
        <f t="shared" si="0"/>
        <v>4</v>
      </c>
      <c r="AI17" s="469">
        <f t="shared" si="0"/>
        <v>4</v>
      </c>
      <c r="AJ17" s="96"/>
      <c r="AK17" s="8"/>
      <c r="AM17" s="226"/>
    </row>
    <row r="18" spans="2:39" ht="25.35" customHeight="1">
      <c r="B18" s="551"/>
      <c r="C18" s="462" t="s">
        <v>80</v>
      </c>
      <c r="D18" s="463"/>
      <c r="E18" s="464"/>
      <c r="F18" s="127"/>
      <c r="G18" s="188"/>
      <c r="H18" s="127"/>
      <c r="I18" s="188"/>
      <c r="J18" s="127"/>
      <c r="K18" s="188"/>
      <c r="L18" s="127"/>
      <c r="M18" s="188"/>
      <c r="N18" s="465"/>
      <c r="O18" s="466"/>
      <c r="P18" s="465"/>
      <c r="Q18" s="466"/>
      <c r="R18" s="465"/>
      <c r="S18" s="466"/>
      <c r="T18" s="465"/>
      <c r="U18" s="466"/>
      <c r="V18" s="465">
        <v>2</v>
      </c>
      <c r="W18" s="466">
        <v>2</v>
      </c>
      <c r="X18" s="467"/>
      <c r="Y18" s="468"/>
      <c r="Z18" s="467"/>
      <c r="AA18" s="468"/>
      <c r="AB18" s="467"/>
      <c r="AC18" s="468"/>
      <c r="AD18" s="467"/>
      <c r="AE18" s="468"/>
      <c r="AF18" s="467"/>
      <c r="AG18" s="468"/>
      <c r="AH18" s="469">
        <f t="shared" si="0"/>
        <v>4</v>
      </c>
      <c r="AI18" s="469">
        <f t="shared" si="0"/>
        <v>4</v>
      </c>
      <c r="AJ18" s="96"/>
      <c r="AK18" s="8"/>
    </row>
    <row r="19" spans="2:39" ht="25.35" customHeight="1">
      <c r="B19" s="551"/>
      <c r="C19" s="462" t="s">
        <v>81</v>
      </c>
      <c r="D19" s="463"/>
      <c r="E19" s="464"/>
      <c r="F19" s="127"/>
      <c r="G19" s="188"/>
      <c r="H19" s="127"/>
      <c r="I19" s="188"/>
      <c r="J19" s="127"/>
      <c r="K19" s="188"/>
      <c r="L19" s="127"/>
      <c r="M19" s="188"/>
      <c r="N19" s="465"/>
      <c r="O19" s="466"/>
      <c r="P19" s="465"/>
      <c r="Q19" s="466"/>
      <c r="R19" s="465"/>
      <c r="S19" s="466"/>
      <c r="T19" s="465"/>
      <c r="U19" s="466"/>
      <c r="V19" s="465">
        <v>2</v>
      </c>
      <c r="W19" s="466">
        <v>2</v>
      </c>
      <c r="X19" s="467"/>
      <c r="Y19" s="468"/>
      <c r="Z19" s="467"/>
      <c r="AA19" s="468"/>
      <c r="AB19" s="467"/>
      <c r="AC19" s="468"/>
      <c r="AD19" s="467"/>
      <c r="AE19" s="468"/>
      <c r="AF19" s="467"/>
      <c r="AG19" s="468"/>
      <c r="AH19" s="469">
        <f t="shared" si="0"/>
        <v>4</v>
      </c>
      <c r="AI19" s="469">
        <f t="shared" si="0"/>
        <v>4</v>
      </c>
      <c r="AJ19" s="96"/>
      <c r="AK19" s="8"/>
    </row>
    <row r="20" spans="2:39" ht="25.35" customHeight="1">
      <c r="B20" s="551"/>
      <c r="C20" s="462" t="s">
        <v>97</v>
      </c>
      <c r="D20" s="463"/>
      <c r="E20" s="464"/>
      <c r="F20" s="127"/>
      <c r="G20" s="188"/>
      <c r="H20" s="127"/>
      <c r="I20" s="188"/>
      <c r="J20" s="127"/>
      <c r="K20" s="188"/>
      <c r="L20" s="127"/>
      <c r="M20" s="188"/>
      <c r="N20" s="465"/>
      <c r="O20" s="466"/>
      <c r="P20" s="465"/>
      <c r="Q20" s="466"/>
      <c r="R20" s="465"/>
      <c r="S20" s="466"/>
      <c r="T20" s="465"/>
      <c r="U20" s="466"/>
      <c r="V20" s="465"/>
      <c r="W20" s="466"/>
      <c r="X20" s="467"/>
      <c r="Y20" s="468"/>
      <c r="Z20" s="467"/>
      <c r="AA20" s="468"/>
      <c r="AB20" s="467"/>
      <c r="AC20" s="468"/>
      <c r="AD20" s="467"/>
      <c r="AE20" s="468"/>
      <c r="AF20" s="467">
        <v>2</v>
      </c>
      <c r="AG20" s="468">
        <v>2</v>
      </c>
      <c r="AH20" s="469">
        <f t="shared" si="0"/>
        <v>4</v>
      </c>
      <c r="AI20" s="469">
        <f t="shared" si="0"/>
        <v>4</v>
      </c>
      <c r="AJ20" s="96"/>
      <c r="AK20" s="8"/>
    </row>
    <row r="21" spans="2:39" ht="25.35" customHeight="1">
      <c r="B21" s="551"/>
      <c r="C21" s="462" t="s">
        <v>98</v>
      </c>
      <c r="D21" s="463"/>
      <c r="E21" s="464"/>
      <c r="F21" s="127"/>
      <c r="G21" s="188"/>
      <c r="H21" s="127"/>
      <c r="I21" s="188"/>
      <c r="J21" s="127"/>
      <c r="K21" s="188"/>
      <c r="L21" s="127"/>
      <c r="M21" s="188"/>
      <c r="N21" s="465"/>
      <c r="O21" s="466"/>
      <c r="P21" s="465"/>
      <c r="Q21" s="466"/>
      <c r="R21" s="465"/>
      <c r="S21" s="466"/>
      <c r="T21" s="465"/>
      <c r="U21" s="466"/>
      <c r="V21" s="465"/>
      <c r="W21" s="466"/>
      <c r="X21" s="467"/>
      <c r="Y21" s="468"/>
      <c r="Z21" s="467"/>
      <c r="AA21" s="468"/>
      <c r="AB21" s="467"/>
      <c r="AC21" s="468"/>
      <c r="AD21" s="467"/>
      <c r="AE21" s="468"/>
      <c r="AF21" s="467">
        <v>2</v>
      </c>
      <c r="AG21" s="468">
        <v>2</v>
      </c>
      <c r="AH21" s="469">
        <f t="shared" si="0"/>
        <v>4</v>
      </c>
      <c r="AI21" s="469">
        <f t="shared" si="0"/>
        <v>4</v>
      </c>
      <c r="AJ21" s="96"/>
      <c r="AK21" s="8"/>
    </row>
    <row r="22" spans="2:39" ht="25.35" customHeight="1">
      <c r="B22" s="551"/>
      <c r="C22" s="15" t="s">
        <v>14</v>
      </c>
      <c r="D22" s="233"/>
      <c r="E22" s="234"/>
      <c r="F22" s="103"/>
      <c r="G22" s="104"/>
      <c r="H22" s="103"/>
      <c r="I22" s="104"/>
      <c r="J22" s="103"/>
      <c r="K22" s="104"/>
      <c r="L22" s="103"/>
      <c r="M22" s="104"/>
      <c r="N22" s="129">
        <v>2</v>
      </c>
      <c r="O22" s="130">
        <v>2</v>
      </c>
      <c r="P22" s="129">
        <v>2</v>
      </c>
      <c r="Q22" s="130">
        <v>2</v>
      </c>
      <c r="R22" s="129">
        <v>2</v>
      </c>
      <c r="S22" s="130">
        <v>2</v>
      </c>
      <c r="T22" s="129">
        <v>2</v>
      </c>
      <c r="U22" s="130">
        <v>2</v>
      </c>
      <c r="V22" s="129"/>
      <c r="W22" s="130"/>
      <c r="X22" s="155"/>
      <c r="Y22" s="156"/>
      <c r="Z22" s="155"/>
      <c r="AA22" s="156"/>
      <c r="AB22" s="155"/>
      <c r="AC22" s="156"/>
      <c r="AD22" s="155"/>
      <c r="AE22" s="156"/>
      <c r="AF22" s="155"/>
      <c r="AG22" s="156"/>
      <c r="AH22" s="79">
        <f>P22*2+R22*2+T22*2+N22</f>
        <v>14</v>
      </c>
      <c r="AI22" s="79">
        <f>Q22*2+S22*2+U22*2+O22</f>
        <v>14</v>
      </c>
      <c r="AJ22" s="96"/>
      <c r="AK22" s="8"/>
    </row>
    <row r="23" spans="2:39" ht="25.35" customHeight="1">
      <c r="B23" s="551"/>
      <c r="C23" s="462" t="s">
        <v>67</v>
      </c>
      <c r="D23" s="463"/>
      <c r="E23" s="464"/>
      <c r="F23" s="127"/>
      <c r="G23" s="188"/>
      <c r="H23" s="127"/>
      <c r="I23" s="188"/>
      <c r="J23" s="127"/>
      <c r="K23" s="188"/>
      <c r="L23" s="127"/>
      <c r="M23" s="188"/>
      <c r="N23" s="465"/>
      <c r="O23" s="466"/>
      <c r="P23" s="465"/>
      <c r="Q23" s="466"/>
      <c r="R23" s="465"/>
      <c r="S23" s="466"/>
      <c r="T23" s="465"/>
      <c r="U23" s="466"/>
      <c r="V23" s="465"/>
      <c r="W23" s="466"/>
      <c r="X23" s="467"/>
      <c r="Y23" s="468"/>
      <c r="Z23" s="467"/>
      <c r="AA23" s="468"/>
      <c r="AB23" s="467"/>
      <c r="AC23" s="468"/>
      <c r="AD23" s="467"/>
      <c r="AE23" s="468"/>
      <c r="AF23" s="467">
        <v>1</v>
      </c>
      <c r="AG23" s="468">
        <v>1</v>
      </c>
      <c r="AH23" s="469">
        <f>F23*3+H23*2+J23*2+L23*2+P23*3+R23*2+T23*2+V23*2+Z23*3+AB23*2+AD23*2+AF23*2</f>
        <v>2</v>
      </c>
      <c r="AI23" s="469">
        <f>G23*3+I23*2+K23*2+M23*2+Q23*3+S23*2+U23*2+W23*2+AA23*3+AC23*2+AE23*2+AG23*2</f>
        <v>2</v>
      </c>
      <c r="AJ23" s="96"/>
      <c r="AK23" s="8"/>
    </row>
    <row r="24" spans="2:39" ht="25.35" customHeight="1">
      <c r="B24" s="551"/>
      <c r="C24" s="462" t="s">
        <v>84</v>
      </c>
      <c r="D24" s="463"/>
      <c r="E24" s="464"/>
      <c r="F24" s="127"/>
      <c r="G24" s="188"/>
      <c r="H24" s="127"/>
      <c r="I24" s="188"/>
      <c r="J24" s="127"/>
      <c r="K24" s="188"/>
      <c r="L24" s="127"/>
      <c r="M24" s="188"/>
      <c r="N24" s="465"/>
      <c r="O24" s="466"/>
      <c r="P24" s="465"/>
      <c r="Q24" s="466"/>
      <c r="R24" s="465"/>
      <c r="S24" s="466"/>
      <c r="T24" s="465"/>
      <c r="U24" s="466"/>
      <c r="V24" s="465">
        <v>1</v>
      </c>
      <c r="W24" s="466"/>
      <c r="X24" s="467"/>
      <c r="Y24" s="468"/>
      <c r="Z24" s="467"/>
      <c r="AA24" s="468"/>
      <c r="AB24" s="467"/>
      <c r="AC24" s="468"/>
      <c r="AD24" s="467"/>
      <c r="AE24" s="468"/>
      <c r="AF24" s="467"/>
      <c r="AG24" s="468"/>
      <c r="AH24" s="469">
        <f>F24*3+H24*2+J24*2+L24*2+P24*3+R24*2+T24*2+V24*2+Z24*3+AB24*2+AD24*2+AF24*2</f>
        <v>2</v>
      </c>
      <c r="AI24" s="469">
        <f>G24*3+I24*2+K24*2+M24*2+Q24*3+S24*2+U24*2+W24*2+AA24*3+AC24*2+AE24*2+AG24*2</f>
        <v>0</v>
      </c>
      <c r="AJ24" s="96"/>
      <c r="AK24" s="8"/>
    </row>
    <row r="25" spans="2:39" ht="25.35" customHeight="1">
      <c r="B25" s="551"/>
      <c r="C25" s="15" t="s">
        <v>15</v>
      </c>
      <c r="D25" s="233"/>
      <c r="E25" s="234"/>
      <c r="F25" s="103"/>
      <c r="G25" s="104"/>
      <c r="H25" s="103"/>
      <c r="I25" s="104"/>
      <c r="J25" s="103"/>
      <c r="K25" s="104"/>
      <c r="L25" s="103"/>
      <c r="M25" s="104"/>
      <c r="N25" s="129"/>
      <c r="O25" s="130"/>
      <c r="P25" s="129"/>
      <c r="Q25" s="130"/>
      <c r="R25" s="129"/>
      <c r="S25" s="130"/>
      <c r="T25" s="129"/>
      <c r="U25" s="130"/>
      <c r="V25" s="129"/>
      <c r="W25" s="130"/>
      <c r="X25" s="155">
        <v>2</v>
      </c>
      <c r="Y25" s="156">
        <v>2</v>
      </c>
      <c r="Z25" s="155">
        <v>2</v>
      </c>
      <c r="AA25" s="156">
        <v>2</v>
      </c>
      <c r="AB25" s="155">
        <v>2</v>
      </c>
      <c r="AC25" s="156">
        <v>2</v>
      </c>
      <c r="AD25" s="155">
        <v>2</v>
      </c>
      <c r="AE25" s="156">
        <v>2</v>
      </c>
      <c r="AF25" s="155"/>
      <c r="AG25" s="156"/>
      <c r="AH25" s="79">
        <f>Z25*2+X25+AB25*2+AD25*2</f>
        <v>14</v>
      </c>
      <c r="AI25" s="79">
        <f>AA25*2+Y25+AC25*2+AE25*2</f>
        <v>14</v>
      </c>
      <c r="AJ25" s="96"/>
      <c r="AK25" s="8"/>
    </row>
    <row r="26" spans="2:39" ht="25.35" customHeight="1">
      <c r="B26" s="551"/>
      <c r="C26" s="462" t="s">
        <v>49</v>
      </c>
      <c r="D26" s="463"/>
      <c r="E26" s="464"/>
      <c r="F26" s="127"/>
      <c r="G26" s="188"/>
      <c r="H26" s="127"/>
      <c r="I26" s="188"/>
      <c r="J26" s="127"/>
      <c r="K26" s="188"/>
      <c r="L26" s="127"/>
      <c r="M26" s="188"/>
      <c r="N26" s="465"/>
      <c r="O26" s="466"/>
      <c r="P26" s="465"/>
      <c r="Q26" s="466"/>
      <c r="R26" s="465"/>
      <c r="S26" s="466"/>
      <c r="T26" s="465"/>
      <c r="U26" s="466"/>
      <c r="V26" s="465">
        <v>1</v>
      </c>
      <c r="W26" s="466"/>
      <c r="X26" s="467"/>
      <c r="Y26" s="468"/>
      <c r="Z26" s="467"/>
      <c r="AA26" s="468"/>
      <c r="AB26" s="467"/>
      <c r="AC26" s="468"/>
      <c r="AD26" s="467"/>
      <c r="AE26" s="468"/>
      <c r="AF26" s="467"/>
      <c r="AG26" s="468"/>
      <c r="AH26" s="469">
        <f>V26*2</f>
        <v>2</v>
      </c>
      <c r="AI26" s="469">
        <v>0</v>
      </c>
      <c r="AJ26" s="96"/>
      <c r="AK26" s="8"/>
    </row>
    <row r="27" spans="2:39" ht="25.35" customHeight="1">
      <c r="B27" s="551"/>
      <c r="C27" s="462" t="s">
        <v>185</v>
      </c>
      <c r="D27" s="463"/>
      <c r="E27" s="464"/>
      <c r="F27" s="127"/>
      <c r="G27" s="188"/>
      <c r="H27" s="127"/>
      <c r="I27" s="188"/>
      <c r="J27" s="127"/>
      <c r="K27" s="188"/>
      <c r="L27" s="127"/>
      <c r="M27" s="188"/>
      <c r="N27" s="465"/>
      <c r="O27" s="466"/>
      <c r="P27" s="465"/>
      <c r="Q27" s="466"/>
      <c r="R27" s="465"/>
      <c r="S27" s="466"/>
      <c r="T27" s="465"/>
      <c r="U27" s="466"/>
      <c r="V27" s="465"/>
      <c r="W27" s="466">
        <v>2</v>
      </c>
      <c r="X27" s="467"/>
      <c r="Y27" s="468"/>
      <c r="Z27" s="467"/>
      <c r="AA27" s="468"/>
      <c r="AB27" s="467"/>
      <c r="AC27" s="468"/>
      <c r="AD27" s="467"/>
      <c r="AE27" s="468"/>
      <c r="AF27" s="467">
        <v>2</v>
      </c>
      <c r="AG27" s="468"/>
      <c r="AH27" s="469">
        <f>AF27*2</f>
        <v>4</v>
      </c>
      <c r="AI27" s="469">
        <f>AG27*2+W27*2</f>
        <v>4</v>
      </c>
      <c r="AJ27" s="96"/>
      <c r="AK27" s="8"/>
    </row>
    <row r="28" spans="2:39" ht="25.35" customHeight="1">
      <c r="B28" s="551"/>
      <c r="C28" s="462" t="s">
        <v>82</v>
      </c>
      <c r="D28" s="463"/>
      <c r="E28" s="464"/>
      <c r="F28" s="127"/>
      <c r="G28" s="188"/>
      <c r="H28" s="127"/>
      <c r="I28" s="188"/>
      <c r="J28" s="127"/>
      <c r="K28" s="188"/>
      <c r="L28" s="127"/>
      <c r="M28" s="188"/>
      <c r="N28" s="465"/>
      <c r="O28" s="466"/>
      <c r="P28" s="465"/>
      <c r="Q28" s="466"/>
      <c r="R28" s="465"/>
      <c r="S28" s="466"/>
      <c r="T28" s="465"/>
      <c r="U28" s="466"/>
      <c r="V28" s="465">
        <v>2</v>
      </c>
      <c r="W28" s="466">
        <v>2</v>
      </c>
      <c r="X28" s="467"/>
      <c r="Y28" s="468"/>
      <c r="Z28" s="467"/>
      <c r="AA28" s="468"/>
      <c r="AB28" s="467"/>
      <c r="AC28" s="468"/>
      <c r="AD28" s="467"/>
      <c r="AE28" s="468"/>
      <c r="AF28" s="467"/>
      <c r="AG28" s="468"/>
      <c r="AH28" s="469">
        <f>V28*2</f>
        <v>4</v>
      </c>
      <c r="AI28" s="469">
        <f>W28*2</f>
        <v>4</v>
      </c>
      <c r="AJ28" s="96"/>
      <c r="AK28" s="8"/>
    </row>
    <row r="29" spans="2:39" ht="25.35" customHeight="1">
      <c r="B29" s="551"/>
      <c r="C29" s="470" t="s">
        <v>200</v>
      </c>
      <c r="D29" s="471"/>
      <c r="E29" s="472"/>
      <c r="F29" s="127"/>
      <c r="G29" s="188"/>
      <c r="H29" s="127"/>
      <c r="I29" s="188"/>
      <c r="J29" s="127"/>
      <c r="K29" s="188"/>
      <c r="L29" s="127"/>
      <c r="M29" s="188"/>
      <c r="N29" s="465"/>
      <c r="O29" s="466"/>
      <c r="P29" s="465"/>
      <c r="Q29" s="466"/>
      <c r="R29" s="465"/>
      <c r="S29" s="466">
        <v>2</v>
      </c>
      <c r="T29" s="465"/>
      <c r="U29" s="466"/>
      <c r="V29" s="465"/>
      <c r="W29" s="466">
        <v>2</v>
      </c>
      <c r="X29" s="467"/>
      <c r="Y29" s="468"/>
      <c r="Z29" s="467"/>
      <c r="AA29" s="468"/>
      <c r="AB29" s="467"/>
      <c r="AC29" s="468"/>
      <c r="AD29" s="467"/>
      <c r="AE29" s="468"/>
      <c r="AF29" s="467"/>
      <c r="AG29" s="468"/>
      <c r="AH29" s="469">
        <f>F29*3+H29*2+J29*2+L29*2+P29*3+R29*2+T29*2+V29*2+Z29*3+AB29*2+AD29*2+AF29*2</f>
        <v>0</v>
      </c>
      <c r="AI29" s="469">
        <v>2</v>
      </c>
      <c r="AJ29" s="96"/>
      <c r="AK29" s="8"/>
    </row>
    <row r="30" spans="2:39" ht="25.35" customHeight="1">
      <c r="B30" s="551"/>
      <c r="C30" s="470" t="s">
        <v>222</v>
      </c>
      <c r="D30" s="471"/>
      <c r="E30" s="472"/>
      <c r="F30" s="127"/>
      <c r="G30" s="188"/>
      <c r="H30" s="127"/>
      <c r="I30" s="188"/>
      <c r="J30" s="127"/>
      <c r="K30" s="188"/>
      <c r="L30" s="127"/>
      <c r="M30" s="188"/>
      <c r="N30" s="465"/>
      <c r="O30" s="466"/>
      <c r="P30" s="466">
        <v>2</v>
      </c>
      <c r="Q30" s="466"/>
      <c r="R30" s="466">
        <v>2</v>
      </c>
      <c r="S30" s="466"/>
      <c r="T30" s="466">
        <v>2</v>
      </c>
      <c r="U30" s="466"/>
      <c r="V30" s="466">
        <v>2</v>
      </c>
      <c r="W30" s="466"/>
      <c r="X30" s="467"/>
      <c r="Y30" s="468"/>
      <c r="Z30" s="467"/>
      <c r="AA30" s="468"/>
      <c r="AB30" s="467"/>
      <c r="AC30" s="468"/>
      <c r="AD30" s="467"/>
      <c r="AE30" s="468"/>
      <c r="AF30" s="467"/>
      <c r="AG30" s="468"/>
      <c r="AH30" s="469">
        <v>2</v>
      </c>
      <c r="AI30" s="469">
        <v>0</v>
      </c>
      <c r="AJ30" s="96"/>
      <c r="AK30" s="8"/>
    </row>
    <row r="31" spans="2:39" ht="25.35" customHeight="1">
      <c r="B31" s="551"/>
      <c r="C31" s="470" t="s">
        <v>221</v>
      </c>
      <c r="D31" s="471"/>
      <c r="E31" s="472"/>
      <c r="F31" s="127"/>
      <c r="G31" s="188"/>
      <c r="H31" s="127"/>
      <c r="I31" s="188"/>
      <c r="J31" s="127"/>
      <c r="K31" s="188"/>
      <c r="L31" s="127"/>
      <c r="M31" s="188"/>
      <c r="N31" s="465"/>
      <c r="O31" s="466"/>
      <c r="P31" s="466">
        <v>2</v>
      </c>
      <c r="Q31" s="466"/>
      <c r="R31" s="466">
        <v>2</v>
      </c>
      <c r="S31" s="466"/>
      <c r="T31" s="466">
        <v>2</v>
      </c>
      <c r="U31" s="466"/>
      <c r="V31" s="466">
        <v>2</v>
      </c>
      <c r="W31" s="466"/>
      <c r="X31" s="467"/>
      <c r="Y31" s="468"/>
      <c r="Z31" s="467"/>
      <c r="AA31" s="468"/>
      <c r="AB31" s="467"/>
      <c r="AC31" s="468"/>
      <c r="AD31" s="467"/>
      <c r="AE31" s="468"/>
      <c r="AF31" s="467"/>
      <c r="AG31" s="468"/>
      <c r="AH31" s="469">
        <v>2</v>
      </c>
      <c r="AI31" s="469">
        <v>0</v>
      </c>
      <c r="AJ31" s="96"/>
      <c r="AK31" s="8"/>
    </row>
    <row r="32" spans="2:39" ht="25.35" customHeight="1">
      <c r="B32" s="551"/>
      <c r="C32" s="470" t="s">
        <v>202</v>
      </c>
      <c r="D32" s="471"/>
      <c r="E32" s="472"/>
      <c r="F32" s="127"/>
      <c r="G32" s="188"/>
      <c r="H32" s="127"/>
      <c r="I32" s="188"/>
      <c r="J32" s="127"/>
      <c r="K32" s="188"/>
      <c r="L32" s="127"/>
      <c r="M32" s="188"/>
      <c r="N32" s="465"/>
      <c r="O32" s="466"/>
      <c r="P32" s="465"/>
      <c r="Q32" s="466"/>
      <c r="R32" s="465"/>
      <c r="S32" s="466"/>
      <c r="T32" s="465"/>
      <c r="U32" s="466"/>
      <c r="V32" s="465">
        <v>2</v>
      </c>
      <c r="W32" s="466"/>
      <c r="X32" s="467"/>
      <c r="Y32" s="468"/>
      <c r="Z32" s="467"/>
      <c r="AA32" s="468"/>
      <c r="AB32" s="467"/>
      <c r="AC32" s="468"/>
      <c r="AD32" s="467"/>
      <c r="AE32" s="468"/>
      <c r="AF32" s="467"/>
      <c r="AG32" s="468"/>
      <c r="AH32" s="469">
        <v>2</v>
      </c>
      <c r="AI32" s="469">
        <f>G32*3+I32*2+K32*2+M32*2+Q32*3+S32*2+U32*2+W32*2+AA32*3+AC32*2+AE32*2+AG32*2</f>
        <v>0</v>
      </c>
      <c r="AJ32" s="96"/>
      <c r="AK32" s="8"/>
    </row>
    <row r="33" spans="2:39" ht="25.35" customHeight="1">
      <c r="B33" s="551"/>
      <c r="C33" s="470" t="s">
        <v>319</v>
      </c>
      <c r="D33" s="471"/>
      <c r="E33" s="472"/>
      <c r="F33" s="127"/>
      <c r="G33" s="188"/>
      <c r="H33" s="127"/>
      <c r="I33" s="188"/>
      <c r="J33" s="127"/>
      <c r="K33" s="188"/>
      <c r="L33" s="127"/>
      <c r="M33" s="188"/>
      <c r="N33" s="465"/>
      <c r="O33" s="466"/>
      <c r="P33" s="465"/>
      <c r="Q33" s="466"/>
      <c r="R33" s="465"/>
      <c r="S33" s="466"/>
      <c r="T33" s="465"/>
      <c r="U33" s="466"/>
      <c r="V33" s="465">
        <v>2</v>
      </c>
      <c r="W33" s="466"/>
      <c r="X33" s="467"/>
      <c r="Y33" s="468"/>
      <c r="Z33" s="467"/>
      <c r="AA33" s="468"/>
      <c r="AB33" s="467"/>
      <c r="AC33" s="468"/>
      <c r="AD33" s="467"/>
      <c r="AE33" s="468"/>
      <c r="AF33" s="467"/>
      <c r="AG33" s="468"/>
      <c r="AH33" s="469">
        <v>2</v>
      </c>
      <c r="AI33" s="469">
        <v>0</v>
      </c>
      <c r="AJ33" s="96"/>
      <c r="AK33" s="8"/>
    </row>
    <row r="34" spans="2:39" ht="25.35" customHeight="1" thickBot="1">
      <c r="B34" s="551"/>
      <c r="C34" s="470" t="s">
        <v>320</v>
      </c>
      <c r="D34" s="471"/>
      <c r="E34" s="472"/>
      <c r="F34" s="127"/>
      <c r="G34" s="188"/>
      <c r="H34" s="127"/>
      <c r="I34" s="188"/>
      <c r="J34" s="127"/>
      <c r="K34" s="188"/>
      <c r="L34" s="127"/>
      <c r="M34" s="188"/>
      <c r="N34" s="465"/>
      <c r="O34" s="466"/>
      <c r="P34" s="465"/>
      <c r="Q34" s="466"/>
      <c r="R34" s="465"/>
      <c r="S34" s="466"/>
      <c r="T34" s="465"/>
      <c r="U34" s="466"/>
      <c r="V34" s="465">
        <v>2</v>
      </c>
      <c r="W34" s="466"/>
      <c r="X34" s="467"/>
      <c r="Y34" s="468"/>
      <c r="Z34" s="467"/>
      <c r="AA34" s="468"/>
      <c r="AB34" s="467"/>
      <c r="AC34" s="468"/>
      <c r="AD34" s="467"/>
      <c r="AE34" s="468"/>
      <c r="AF34" s="467"/>
      <c r="AG34" s="468"/>
      <c r="AH34" s="469">
        <v>2</v>
      </c>
      <c r="AI34" s="469">
        <v>0</v>
      </c>
      <c r="AJ34" s="96"/>
      <c r="AK34" s="8"/>
    </row>
    <row r="35" spans="2:39" ht="25.35" customHeight="1" thickTop="1">
      <c r="B35" s="552"/>
      <c r="C35" s="470" t="s">
        <v>137</v>
      </c>
      <c r="D35" s="473"/>
      <c r="E35" s="474"/>
      <c r="F35" s="123"/>
      <c r="G35" s="124"/>
      <c r="H35" s="123"/>
      <c r="I35" s="124"/>
      <c r="J35" s="123"/>
      <c r="K35" s="124"/>
      <c r="L35" s="123"/>
      <c r="M35" s="124"/>
      <c r="N35" s="475"/>
      <c r="O35" s="476"/>
      <c r="P35" s="475"/>
      <c r="Q35" s="476"/>
      <c r="R35" s="475"/>
      <c r="S35" s="476"/>
      <c r="T35" s="475"/>
      <c r="U35" s="476"/>
      <c r="V35" s="475"/>
      <c r="W35" s="476"/>
      <c r="X35" s="477"/>
      <c r="Y35" s="478"/>
      <c r="Z35" s="477"/>
      <c r="AA35" s="478"/>
      <c r="AB35" s="477"/>
      <c r="AC35" s="478"/>
      <c r="AD35" s="477"/>
      <c r="AE35" s="478"/>
      <c r="AF35" s="477"/>
      <c r="AG35" s="478">
        <v>2</v>
      </c>
      <c r="AH35" s="469">
        <f>AF35*2</f>
        <v>0</v>
      </c>
      <c r="AI35" s="469">
        <v>2</v>
      </c>
      <c r="AJ35" s="96"/>
      <c r="AK35" s="8"/>
    </row>
    <row r="36" spans="2:39" ht="25.35" customHeight="1" thickBot="1">
      <c r="B36" s="552"/>
      <c r="C36" s="470" t="s">
        <v>321</v>
      </c>
      <c r="D36" s="473"/>
      <c r="E36" s="474"/>
      <c r="F36" s="125"/>
      <c r="G36" s="126"/>
      <c r="H36" s="125"/>
      <c r="I36" s="126"/>
      <c r="J36" s="125"/>
      <c r="K36" s="126"/>
      <c r="L36" s="125"/>
      <c r="M36" s="126"/>
      <c r="N36" s="479"/>
      <c r="O36" s="480"/>
      <c r="P36" s="479"/>
      <c r="Q36" s="480"/>
      <c r="R36" s="479"/>
      <c r="S36" s="480"/>
      <c r="T36" s="479"/>
      <c r="U36" s="480"/>
      <c r="V36" s="479"/>
      <c r="W36" s="480"/>
      <c r="X36" s="481"/>
      <c r="Y36" s="482"/>
      <c r="Z36" s="481"/>
      <c r="AA36" s="482"/>
      <c r="AB36" s="481"/>
      <c r="AC36" s="482"/>
      <c r="AD36" s="481"/>
      <c r="AE36" s="482"/>
      <c r="AF36" s="481"/>
      <c r="AG36" s="482">
        <v>2</v>
      </c>
      <c r="AH36" s="483">
        <v>0</v>
      </c>
      <c r="AI36" s="483">
        <v>2</v>
      </c>
      <c r="AJ36" s="96"/>
      <c r="AK36" s="8"/>
    </row>
    <row r="37" spans="2:39" ht="25.35" customHeight="1" thickTop="1">
      <c r="B37" s="564" t="s">
        <v>21</v>
      </c>
      <c r="C37" s="14" t="s">
        <v>16</v>
      </c>
      <c r="D37" s="101">
        <v>3</v>
      </c>
      <c r="E37" s="102">
        <v>3</v>
      </c>
      <c r="F37" s="101">
        <v>3</v>
      </c>
      <c r="G37" s="102">
        <v>3</v>
      </c>
      <c r="H37" s="101">
        <v>3</v>
      </c>
      <c r="I37" s="102">
        <v>3</v>
      </c>
      <c r="J37" s="101">
        <v>3</v>
      </c>
      <c r="K37" s="102">
        <v>3</v>
      </c>
      <c r="L37" s="101">
        <v>3</v>
      </c>
      <c r="M37" s="102">
        <v>3</v>
      </c>
      <c r="N37" s="128">
        <v>3</v>
      </c>
      <c r="O37" s="139">
        <v>3</v>
      </c>
      <c r="P37" s="128">
        <v>3</v>
      </c>
      <c r="Q37" s="139">
        <v>3</v>
      </c>
      <c r="R37" s="128">
        <v>3</v>
      </c>
      <c r="S37" s="139">
        <v>3</v>
      </c>
      <c r="T37" s="128">
        <v>3</v>
      </c>
      <c r="U37" s="139">
        <v>3</v>
      </c>
      <c r="V37" s="128">
        <v>3</v>
      </c>
      <c r="W37" s="139">
        <v>3</v>
      </c>
      <c r="X37" s="153"/>
      <c r="Y37" s="154"/>
      <c r="Z37" s="153"/>
      <c r="AA37" s="154"/>
      <c r="AB37" s="153"/>
      <c r="AC37" s="154"/>
      <c r="AD37" s="153"/>
      <c r="AE37" s="154"/>
      <c r="AF37" s="153"/>
      <c r="AG37" s="154"/>
      <c r="AH37" s="75">
        <f>F37*2+H37*2+J37*2+L37*2+P37*3+R37*2+T37*2+V37*2+Z37*3+AB37*2+AD37*2+AF37*2+D37</f>
        <v>54</v>
      </c>
      <c r="AI37" s="75">
        <f>G37*2+I37*2+K37*2+M37*2+Q37*3+S37*2+U37*2+W37*2+AA37*3+AC37*2+AE37*2+AG37*2+E37</f>
        <v>54</v>
      </c>
      <c r="AJ37" s="5">
        <f>SUM(AH37:AH40)</f>
        <v>90</v>
      </c>
      <c r="AK37" s="5">
        <f>SUM(AI37:AI40)</f>
        <v>92</v>
      </c>
    </row>
    <row r="38" spans="2:39" ht="25.35" customHeight="1">
      <c r="B38" s="565"/>
      <c r="C38" s="43" t="s">
        <v>157</v>
      </c>
      <c r="D38" s="229"/>
      <c r="E38" s="230"/>
      <c r="F38" s="103"/>
      <c r="G38" s="104"/>
      <c r="H38" s="103"/>
      <c r="I38" s="104"/>
      <c r="J38" s="103"/>
      <c r="K38" s="104"/>
      <c r="L38" s="103"/>
      <c r="M38" s="104"/>
      <c r="N38" s="140"/>
      <c r="O38" s="141"/>
      <c r="P38" s="140"/>
      <c r="Q38" s="141"/>
      <c r="R38" s="140"/>
      <c r="S38" s="141"/>
      <c r="T38" s="140"/>
      <c r="U38" s="141"/>
      <c r="V38" s="140"/>
      <c r="W38" s="141"/>
      <c r="X38" s="155">
        <v>1</v>
      </c>
      <c r="Y38" s="156">
        <v>1</v>
      </c>
      <c r="Z38" s="155">
        <v>1</v>
      </c>
      <c r="AA38" s="156">
        <v>1</v>
      </c>
      <c r="AB38" s="155">
        <v>1</v>
      </c>
      <c r="AC38" s="156">
        <v>1</v>
      </c>
      <c r="AD38" s="155">
        <v>1</v>
      </c>
      <c r="AE38" s="156">
        <v>1</v>
      </c>
      <c r="AF38" s="155">
        <v>1</v>
      </c>
      <c r="AG38" s="156">
        <v>1</v>
      </c>
      <c r="AH38" s="79">
        <f>F38*3+H38*2+J38*2+L38*2+P38*3+R38*2+T38*2+V38*2+Z38*3+AB38*2+AD38*2+AF38*2</f>
        <v>9</v>
      </c>
      <c r="AI38" s="79">
        <f>G38*3+I38*2+K38*2+M38*2+Q38*3+S38*2+U38*2+W38*2+AA38*3+AC38*2+AE38*2+AG38*2</f>
        <v>9</v>
      </c>
      <c r="AJ38" s="8"/>
      <c r="AK38" s="8"/>
      <c r="AM38" s="226"/>
    </row>
    <row r="39" spans="2:39" ht="25.35" customHeight="1">
      <c r="B39" s="565"/>
      <c r="C39" s="43" t="s">
        <v>76</v>
      </c>
      <c r="D39" s="229"/>
      <c r="E39" s="230"/>
      <c r="F39" s="103"/>
      <c r="G39" s="104"/>
      <c r="H39" s="103"/>
      <c r="I39" s="104"/>
      <c r="J39" s="103"/>
      <c r="K39" s="104"/>
      <c r="L39" s="103"/>
      <c r="M39" s="104"/>
      <c r="N39" s="129"/>
      <c r="O39" s="130"/>
      <c r="P39" s="129"/>
      <c r="Q39" s="130"/>
      <c r="R39" s="129"/>
      <c r="S39" s="130"/>
      <c r="T39" s="129"/>
      <c r="U39" s="130"/>
      <c r="V39" s="129"/>
      <c r="W39" s="130"/>
      <c r="X39" s="155">
        <v>3</v>
      </c>
      <c r="Y39" s="156">
        <v>3</v>
      </c>
      <c r="Z39" s="155">
        <v>3</v>
      </c>
      <c r="AA39" s="156">
        <v>3</v>
      </c>
      <c r="AB39" s="155">
        <v>3</v>
      </c>
      <c r="AC39" s="156">
        <v>3</v>
      </c>
      <c r="AD39" s="155">
        <v>3</v>
      </c>
      <c r="AE39" s="156">
        <v>3</v>
      </c>
      <c r="AF39" s="155">
        <v>3</v>
      </c>
      <c r="AG39" s="156">
        <v>3</v>
      </c>
      <c r="AH39" s="79">
        <f>F39*3+H39*2+J39*2+L39*2+P39*3+R39*2+T39*2+V39*2+Z39*3+AB39*2+AD39*2+AF39*2</f>
        <v>27</v>
      </c>
      <c r="AI39" s="79">
        <f>G39*3+I39*2+K39*2+M39*2+Q39*3+S39*2+U39*2+W39*2+AA39*3+AC39*2+AE39*2+AG39*2</f>
        <v>27</v>
      </c>
      <c r="AJ39" s="8"/>
      <c r="AK39" s="8"/>
      <c r="AM39" s="226"/>
    </row>
    <row r="40" spans="2:39" ht="25.35" customHeight="1" thickBot="1">
      <c r="B40" s="565"/>
      <c r="C40" s="217" t="s">
        <v>201</v>
      </c>
      <c r="D40" s="113"/>
      <c r="E40" s="114"/>
      <c r="F40" s="113"/>
      <c r="G40" s="114"/>
      <c r="H40" s="113"/>
      <c r="I40" s="114"/>
      <c r="J40" s="113"/>
      <c r="K40" s="114"/>
      <c r="L40" s="113"/>
      <c r="M40" s="114"/>
      <c r="N40" s="131"/>
      <c r="O40" s="132"/>
      <c r="P40" s="131"/>
      <c r="Q40" s="132"/>
      <c r="R40" s="131"/>
      <c r="S40" s="132">
        <v>2</v>
      </c>
      <c r="T40" s="131"/>
      <c r="U40" s="132"/>
      <c r="V40" s="131"/>
      <c r="W40" s="132">
        <v>2</v>
      </c>
      <c r="X40" s="165"/>
      <c r="Y40" s="166"/>
      <c r="Z40" s="165"/>
      <c r="AA40" s="166"/>
      <c r="AB40" s="165"/>
      <c r="AC40" s="166"/>
      <c r="AD40" s="165"/>
      <c r="AE40" s="166"/>
      <c r="AF40" s="165"/>
      <c r="AG40" s="166"/>
      <c r="AH40" s="84">
        <v>0</v>
      </c>
      <c r="AI40" s="84">
        <v>2</v>
      </c>
      <c r="AJ40" s="96"/>
      <c r="AK40" s="9"/>
    </row>
    <row r="41" spans="2:39" ht="25.35" customHeight="1" thickTop="1">
      <c r="B41" s="566"/>
      <c r="C41" s="55" t="s">
        <v>53</v>
      </c>
      <c r="D41" s="115">
        <v>2</v>
      </c>
      <c r="E41" s="232"/>
      <c r="F41" s="115">
        <v>2</v>
      </c>
      <c r="G41" s="116"/>
      <c r="H41" s="115">
        <v>2</v>
      </c>
      <c r="I41" s="116"/>
      <c r="J41" s="115">
        <v>2</v>
      </c>
      <c r="K41" s="116"/>
      <c r="L41" s="115">
        <v>2</v>
      </c>
      <c r="M41" s="116"/>
      <c r="N41" s="140"/>
      <c r="O41" s="141"/>
      <c r="P41" s="140"/>
      <c r="Q41" s="141"/>
      <c r="R41" s="140"/>
      <c r="S41" s="141"/>
      <c r="T41" s="140"/>
      <c r="U41" s="141"/>
      <c r="V41" s="140"/>
      <c r="W41" s="141"/>
      <c r="X41" s="167"/>
      <c r="Y41" s="168"/>
      <c r="Z41" s="167"/>
      <c r="AA41" s="168"/>
      <c r="AB41" s="167"/>
      <c r="AC41" s="168"/>
      <c r="AD41" s="167"/>
      <c r="AE41" s="168"/>
      <c r="AF41" s="167"/>
      <c r="AG41" s="168"/>
      <c r="AH41" s="83">
        <f>F41*2+H41*2+J41*2+L41*2+P41*3+R41*2+T41*2+V41*2+Z41*3+AB41*2+AD41*2+AF41*2+D41</f>
        <v>18</v>
      </c>
      <c r="AI41" s="83">
        <f>G41*3+I41*2+K41*2+M41*2+Q41*3+S41*2+U41*2+W41*2+AA41*3+AC41*2+AE41*2+AG41*2</f>
        <v>0</v>
      </c>
      <c r="AJ41" s="22">
        <f>SUM(AH41:AH43)</f>
        <v>18</v>
      </c>
      <c r="AK41" s="22">
        <f>AI43+AI42</f>
        <v>18</v>
      </c>
    </row>
    <row r="42" spans="2:39" ht="25.35" customHeight="1">
      <c r="B42" s="566"/>
      <c r="C42" s="89" t="s">
        <v>135</v>
      </c>
      <c r="D42" s="237"/>
      <c r="E42" s="238">
        <v>1</v>
      </c>
      <c r="F42" s="117"/>
      <c r="G42" s="118">
        <v>1</v>
      </c>
      <c r="H42" s="117"/>
      <c r="I42" s="118">
        <v>1</v>
      </c>
      <c r="J42" s="117"/>
      <c r="K42" s="118">
        <v>1</v>
      </c>
      <c r="L42" s="117"/>
      <c r="M42" s="118">
        <v>1</v>
      </c>
      <c r="N42" s="142"/>
      <c r="O42" s="143"/>
      <c r="P42" s="142"/>
      <c r="Q42" s="143"/>
      <c r="R42" s="142"/>
      <c r="S42" s="143"/>
      <c r="T42" s="142"/>
      <c r="U42" s="143"/>
      <c r="V42" s="142"/>
      <c r="W42" s="143"/>
      <c r="X42" s="157"/>
      <c r="Y42" s="158"/>
      <c r="Z42" s="157"/>
      <c r="AA42" s="158"/>
      <c r="AB42" s="157"/>
      <c r="AC42" s="158"/>
      <c r="AD42" s="157"/>
      <c r="AE42" s="158"/>
      <c r="AF42" s="157"/>
      <c r="AG42" s="158"/>
      <c r="AH42" s="97">
        <v>0</v>
      </c>
      <c r="AI42" s="79">
        <v>9</v>
      </c>
      <c r="AJ42" s="8"/>
      <c r="AK42" s="8"/>
    </row>
    <row r="43" spans="2:39" ht="26.25" customHeight="1" thickBot="1">
      <c r="B43" s="567"/>
      <c r="C43" s="60" t="s">
        <v>136</v>
      </c>
      <c r="D43" s="241"/>
      <c r="E43" s="242">
        <v>1</v>
      </c>
      <c r="F43" s="111"/>
      <c r="G43" s="112">
        <v>1</v>
      </c>
      <c r="H43" s="111"/>
      <c r="I43" s="112">
        <v>1</v>
      </c>
      <c r="J43" s="111"/>
      <c r="K43" s="112">
        <v>1</v>
      </c>
      <c r="L43" s="111"/>
      <c r="M43" s="112">
        <v>1</v>
      </c>
      <c r="N43" s="137"/>
      <c r="O43" s="138"/>
      <c r="P43" s="137"/>
      <c r="Q43" s="138"/>
      <c r="R43" s="137"/>
      <c r="S43" s="138"/>
      <c r="T43" s="137"/>
      <c r="U43" s="138"/>
      <c r="V43" s="137"/>
      <c r="W43" s="138"/>
      <c r="X43" s="163"/>
      <c r="Y43" s="164"/>
      <c r="Z43" s="163"/>
      <c r="AA43" s="164"/>
      <c r="AB43" s="163"/>
      <c r="AC43" s="164"/>
      <c r="AD43" s="163"/>
      <c r="AE43" s="164"/>
      <c r="AF43" s="163"/>
      <c r="AG43" s="164"/>
      <c r="AH43" s="80">
        <f>F43*3+H43*2+J43*2+L43*2+P43*3+R43*2+T43*2+V43*2+Z43*3+AB43*2+AD43*2+AF43*2</f>
        <v>0</v>
      </c>
      <c r="AI43" s="80">
        <f>G43*3+I43*2+K43*2+M43*2+Q43*3+S43*2+U43*2+W43*2+AA43*3+AC43*2+AE43*2+AG43*2</f>
        <v>9</v>
      </c>
      <c r="AJ43" s="23"/>
      <c r="AK43" s="23"/>
    </row>
    <row r="44" spans="2:39" ht="25.35" customHeight="1" thickTop="1">
      <c r="B44" s="559" t="s">
        <v>51</v>
      </c>
      <c r="C44" s="55" t="s">
        <v>61</v>
      </c>
      <c r="D44" s="231"/>
      <c r="E44" s="232"/>
      <c r="F44" s="101">
        <v>3</v>
      </c>
      <c r="G44" s="102">
        <v>3</v>
      </c>
      <c r="H44" s="101">
        <v>3</v>
      </c>
      <c r="I44" s="102">
        <v>3</v>
      </c>
      <c r="J44" s="101">
        <v>3</v>
      </c>
      <c r="K44" s="102">
        <v>3</v>
      </c>
      <c r="L44" s="101">
        <v>3</v>
      </c>
      <c r="M44" s="102">
        <v>3</v>
      </c>
      <c r="N44" s="128"/>
      <c r="O44" s="139"/>
      <c r="P44" s="128">
        <v>2</v>
      </c>
      <c r="Q44" s="139">
        <v>2</v>
      </c>
      <c r="R44" s="128">
        <v>2</v>
      </c>
      <c r="S44" s="139">
        <v>2</v>
      </c>
      <c r="T44" s="128">
        <v>2</v>
      </c>
      <c r="U44" s="139">
        <v>2</v>
      </c>
      <c r="V44" s="128"/>
      <c r="W44" s="139"/>
      <c r="X44" s="161"/>
      <c r="Y44" s="162"/>
      <c r="Z44" s="161"/>
      <c r="AA44" s="162"/>
      <c r="AB44" s="161"/>
      <c r="AC44" s="162"/>
      <c r="AD44" s="161"/>
      <c r="AE44" s="162"/>
      <c r="AF44" s="161"/>
      <c r="AG44" s="162"/>
      <c r="AH44" s="75">
        <f>F44*2+H44*2+J44*2+L44*2+P44*2+R44*2+T44*2+V44*2+Z44*3+AB44*2+AD44*2+AF44*2</f>
        <v>36</v>
      </c>
      <c r="AI44" s="75">
        <f>G44*2+I44*2+K44*2+M44*2+Q44*2+S44*2+U44*2+W44*2+AA44*3+AC44*2+AE44*2+AG44*2</f>
        <v>36</v>
      </c>
      <c r="AJ44" s="5">
        <f>SUM(AH44:AH62)</f>
        <v>114</v>
      </c>
      <c r="AK44" s="5">
        <f>SUM(AI44:AI62)</f>
        <v>114</v>
      </c>
    </row>
    <row r="45" spans="2:39" ht="25.35" customHeight="1">
      <c r="B45" s="552"/>
      <c r="C45" s="15" t="s">
        <v>43</v>
      </c>
      <c r="D45" s="233"/>
      <c r="E45" s="234"/>
      <c r="F45" s="103"/>
      <c r="G45" s="104"/>
      <c r="H45" s="103"/>
      <c r="I45" s="104"/>
      <c r="J45" s="103"/>
      <c r="K45" s="104"/>
      <c r="L45" s="103"/>
      <c r="M45" s="104"/>
      <c r="N45" s="129"/>
      <c r="O45" s="130"/>
      <c r="P45" s="129">
        <v>1</v>
      </c>
      <c r="Q45" s="130">
        <v>1</v>
      </c>
      <c r="R45" s="129">
        <v>1</v>
      </c>
      <c r="S45" s="130">
        <v>1</v>
      </c>
      <c r="T45" s="129">
        <v>1</v>
      </c>
      <c r="U45" s="130">
        <v>1</v>
      </c>
      <c r="V45" s="129"/>
      <c r="W45" s="130"/>
      <c r="X45" s="155"/>
      <c r="Y45" s="156"/>
      <c r="Z45" s="155">
        <v>3</v>
      </c>
      <c r="AA45" s="156">
        <v>3</v>
      </c>
      <c r="AB45" s="155">
        <v>4</v>
      </c>
      <c r="AC45" s="156">
        <v>4</v>
      </c>
      <c r="AD45" s="155">
        <v>4</v>
      </c>
      <c r="AE45" s="156">
        <v>4</v>
      </c>
      <c r="AF45" s="155"/>
      <c r="AG45" s="156"/>
      <c r="AH45" s="79">
        <f>F45*3+H45*2+J45*2+L45*2+P45*2+R45*2+T45*2+V45*2+Z45*2+AB45*2+AD45*2+AF45*2</f>
        <v>28</v>
      </c>
      <c r="AI45" s="79">
        <f>G45*3+I45*2+K45*2+M45*2+Q45*2+S45*2+U45*2+W45*2+AA45*2+AC45*2+AE45*2+AG45*2</f>
        <v>28</v>
      </c>
      <c r="AJ45" s="96"/>
      <c r="AK45" s="8"/>
      <c r="AM45" s="226"/>
    </row>
    <row r="46" spans="2:39" ht="25.35" customHeight="1">
      <c r="B46" s="552"/>
      <c r="C46" s="61" t="s">
        <v>71</v>
      </c>
      <c r="D46" s="243"/>
      <c r="E46" s="244"/>
      <c r="F46" s="115"/>
      <c r="G46" s="116"/>
      <c r="H46" s="115">
        <v>2</v>
      </c>
      <c r="I46" s="116">
        <v>2</v>
      </c>
      <c r="J46" s="115">
        <v>2</v>
      </c>
      <c r="K46" s="116">
        <v>2</v>
      </c>
      <c r="L46" s="115"/>
      <c r="M46" s="116"/>
      <c r="N46" s="140"/>
      <c r="O46" s="141"/>
      <c r="P46" s="140"/>
      <c r="Q46" s="141"/>
      <c r="R46" s="140"/>
      <c r="S46" s="141"/>
      <c r="T46" s="140"/>
      <c r="U46" s="141"/>
      <c r="V46" s="140"/>
      <c r="W46" s="141"/>
      <c r="X46" s="155"/>
      <c r="Y46" s="156"/>
      <c r="Z46" s="167"/>
      <c r="AA46" s="168"/>
      <c r="AB46" s="167"/>
      <c r="AC46" s="168"/>
      <c r="AD46" s="167"/>
      <c r="AE46" s="168"/>
      <c r="AF46" s="167"/>
      <c r="AG46" s="168"/>
      <c r="AH46" s="83">
        <f t="shared" ref="AH46:AI49" si="1">F46*3+H46*2+J46*2+L46*2+P46*3+R46*2+T46*2+V46*2+Z46*3+AB46*2+AD46*2+AF46*2</f>
        <v>8</v>
      </c>
      <c r="AI46" s="83">
        <f t="shared" si="1"/>
        <v>8</v>
      </c>
      <c r="AJ46" s="96"/>
      <c r="AK46" s="96"/>
      <c r="AM46" s="226"/>
    </row>
    <row r="47" spans="2:39" ht="25.35" customHeight="1">
      <c r="B47" s="552"/>
      <c r="C47" s="61" t="s">
        <v>69</v>
      </c>
      <c r="D47" s="243"/>
      <c r="E47" s="244"/>
      <c r="F47" s="115"/>
      <c r="G47" s="104"/>
      <c r="H47" s="115">
        <v>1</v>
      </c>
      <c r="I47" s="104">
        <v>1</v>
      </c>
      <c r="J47" s="115"/>
      <c r="K47" s="116"/>
      <c r="L47" s="115"/>
      <c r="M47" s="116"/>
      <c r="N47" s="140"/>
      <c r="O47" s="141"/>
      <c r="P47" s="140"/>
      <c r="Q47" s="141"/>
      <c r="R47" s="140"/>
      <c r="S47" s="141"/>
      <c r="T47" s="140"/>
      <c r="U47" s="141"/>
      <c r="V47" s="140"/>
      <c r="W47" s="141"/>
      <c r="X47" s="155"/>
      <c r="Y47" s="156"/>
      <c r="Z47" s="167"/>
      <c r="AA47" s="168"/>
      <c r="AB47" s="167"/>
      <c r="AC47" s="168"/>
      <c r="AD47" s="167"/>
      <c r="AE47" s="168"/>
      <c r="AF47" s="167"/>
      <c r="AG47" s="168"/>
      <c r="AH47" s="79">
        <f t="shared" si="1"/>
        <v>2</v>
      </c>
      <c r="AI47" s="79">
        <f t="shared" si="1"/>
        <v>2</v>
      </c>
      <c r="AJ47" s="96"/>
      <c r="AK47" s="96"/>
    </row>
    <row r="48" spans="2:39" ht="25.35" customHeight="1">
      <c r="B48" s="552"/>
      <c r="C48" s="43" t="s">
        <v>65</v>
      </c>
      <c r="D48" s="239"/>
      <c r="E48" s="240"/>
      <c r="F48" s="109"/>
      <c r="G48" s="110"/>
      <c r="H48" s="109"/>
      <c r="I48" s="110"/>
      <c r="J48" s="103"/>
      <c r="K48" s="104"/>
      <c r="L48" s="103"/>
      <c r="M48" s="104"/>
      <c r="N48" s="129"/>
      <c r="O48" s="130"/>
      <c r="P48" s="129"/>
      <c r="Q48" s="130"/>
      <c r="R48" s="129">
        <v>2</v>
      </c>
      <c r="S48" s="130">
        <v>2</v>
      </c>
      <c r="T48" s="129">
        <v>2</v>
      </c>
      <c r="U48" s="130">
        <v>2</v>
      </c>
      <c r="V48" s="129"/>
      <c r="W48" s="130"/>
      <c r="X48" s="155"/>
      <c r="Y48" s="156"/>
      <c r="Z48" s="155"/>
      <c r="AA48" s="156"/>
      <c r="AB48" s="155"/>
      <c r="AC48" s="156"/>
      <c r="AD48" s="155"/>
      <c r="AE48" s="156"/>
      <c r="AF48" s="155"/>
      <c r="AG48" s="156"/>
      <c r="AH48" s="79">
        <f t="shared" si="1"/>
        <v>8</v>
      </c>
      <c r="AI48" s="79">
        <f t="shared" si="1"/>
        <v>8</v>
      </c>
      <c r="AJ48" s="9"/>
      <c r="AK48" s="96"/>
    </row>
    <row r="49" spans="2:39" ht="25.35" customHeight="1">
      <c r="B49" s="552"/>
      <c r="C49" s="43" t="s">
        <v>85</v>
      </c>
      <c r="D49" s="239"/>
      <c r="E49" s="240"/>
      <c r="F49" s="109"/>
      <c r="G49" s="110"/>
      <c r="H49" s="109"/>
      <c r="I49" s="110"/>
      <c r="J49" s="103"/>
      <c r="K49" s="104"/>
      <c r="L49" s="103"/>
      <c r="M49" s="104"/>
      <c r="N49" s="129"/>
      <c r="O49" s="130"/>
      <c r="P49" s="129"/>
      <c r="Q49" s="130"/>
      <c r="R49" s="129"/>
      <c r="S49" s="130"/>
      <c r="T49" s="129"/>
      <c r="U49" s="130"/>
      <c r="V49" s="129">
        <v>3</v>
      </c>
      <c r="W49" s="130">
        <v>3</v>
      </c>
      <c r="X49" s="155"/>
      <c r="Y49" s="156"/>
      <c r="Z49" s="155"/>
      <c r="AA49" s="156"/>
      <c r="AB49" s="155"/>
      <c r="AC49" s="156"/>
      <c r="AD49" s="155"/>
      <c r="AE49" s="156"/>
      <c r="AF49" s="155"/>
      <c r="AG49" s="156"/>
      <c r="AH49" s="79">
        <f t="shared" si="1"/>
        <v>6</v>
      </c>
      <c r="AI49" s="79">
        <f t="shared" si="1"/>
        <v>6</v>
      </c>
      <c r="AJ49" s="9"/>
      <c r="AK49" s="96"/>
    </row>
    <row r="50" spans="2:39" ht="24.95" customHeight="1">
      <c r="B50" s="552"/>
      <c r="C50" s="43" t="s">
        <v>99</v>
      </c>
      <c r="D50" s="239"/>
      <c r="E50" s="240"/>
      <c r="F50" s="109"/>
      <c r="G50" s="110"/>
      <c r="H50" s="109"/>
      <c r="I50" s="110"/>
      <c r="J50" s="103"/>
      <c r="K50" s="104"/>
      <c r="L50" s="103"/>
      <c r="M50" s="104"/>
      <c r="N50" s="129"/>
      <c r="O50" s="130"/>
      <c r="P50" s="129"/>
      <c r="Q50" s="130"/>
      <c r="R50" s="129"/>
      <c r="S50" s="130"/>
      <c r="T50" s="129"/>
      <c r="U50" s="130"/>
      <c r="V50" s="129"/>
      <c r="W50" s="130"/>
      <c r="X50" s="167"/>
      <c r="Y50" s="168"/>
      <c r="Z50" s="155"/>
      <c r="AA50" s="156"/>
      <c r="AB50" s="155"/>
      <c r="AC50" s="156"/>
      <c r="AD50" s="155"/>
      <c r="AE50" s="156"/>
      <c r="AF50" s="155">
        <v>3</v>
      </c>
      <c r="AG50" s="156">
        <v>3</v>
      </c>
      <c r="AH50" s="79">
        <f>AF50*2</f>
        <v>6</v>
      </c>
      <c r="AI50" s="79">
        <f>AG50*2</f>
        <v>6</v>
      </c>
      <c r="AJ50" s="9"/>
      <c r="AK50" s="96"/>
    </row>
    <row r="51" spans="2:39" ht="24.95" customHeight="1">
      <c r="B51" s="552"/>
      <c r="C51" s="43" t="s">
        <v>64</v>
      </c>
      <c r="D51" s="229"/>
      <c r="E51" s="230"/>
      <c r="F51" s="103"/>
      <c r="G51" s="104"/>
      <c r="H51" s="103"/>
      <c r="I51" s="104"/>
      <c r="J51" s="103"/>
      <c r="K51" s="104"/>
      <c r="L51" s="103"/>
      <c r="M51" s="104"/>
      <c r="N51" s="129"/>
      <c r="O51" s="130"/>
      <c r="P51" s="129"/>
      <c r="Q51" s="130"/>
      <c r="R51" s="129">
        <v>2</v>
      </c>
      <c r="S51" s="130">
        <v>2</v>
      </c>
      <c r="T51" s="129"/>
      <c r="U51" s="130"/>
      <c r="V51" s="129"/>
      <c r="W51" s="130"/>
      <c r="X51" s="155"/>
      <c r="Y51" s="156"/>
      <c r="Z51" s="155"/>
      <c r="AA51" s="156"/>
      <c r="AB51" s="155"/>
      <c r="AC51" s="156"/>
      <c r="AD51" s="155"/>
      <c r="AE51" s="156"/>
      <c r="AF51" s="155"/>
      <c r="AG51" s="156"/>
      <c r="AH51" s="81">
        <v>4</v>
      </c>
      <c r="AI51" s="81">
        <v>4</v>
      </c>
      <c r="AJ51" s="9"/>
      <c r="AK51" s="96"/>
    </row>
    <row r="52" spans="2:39" ht="24.95" customHeight="1">
      <c r="B52" s="552"/>
      <c r="C52" s="43" t="s">
        <v>74</v>
      </c>
      <c r="D52" s="229"/>
      <c r="E52" s="230"/>
      <c r="F52" s="103"/>
      <c r="G52" s="104"/>
      <c r="H52" s="103"/>
      <c r="I52" s="104"/>
      <c r="J52" s="103"/>
      <c r="K52" s="104"/>
      <c r="L52" s="103"/>
      <c r="M52" s="104"/>
      <c r="N52" s="129"/>
      <c r="O52" s="130"/>
      <c r="P52" s="129"/>
      <c r="Q52" s="130"/>
      <c r="R52" s="129"/>
      <c r="S52" s="130"/>
      <c r="T52" s="129"/>
      <c r="U52" s="130"/>
      <c r="V52" s="129"/>
      <c r="W52" s="130"/>
      <c r="X52" s="155"/>
      <c r="Y52" s="156"/>
      <c r="Z52" s="155">
        <v>1</v>
      </c>
      <c r="AA52" s="156">
        <v>1</v>
      </c>
      <c r="AB52" s="155"/>
      <c r="AC52" s="156">
        <v>2</v>
      </c>
      <c r="AD52" s="155"/>
      <c r="AE52" s="156"/>
      <c r="AF52" s="155"/>
      <c r="AG52" s="156"/>
      <c r="AH52" s="79">
        <f>Z52*2</f>
        <v>2</v>
      </c>
      <c r="AI52" s="79">
        <f>AA52*2+AC52*2</f>
        <v>6</v>
      </c>
      <c r="AJ52" s="9"/>
      <c r="AK52" s="96"/>
    </row>
    <row r="53" spans="2:39" ht="25.35" customHeight="1">
      <c r="B53" s="552"/>
      <c r="C53" s="43" t="s">
        <v>134</v>
      </c>
      <c r="D53" s="229"/>
      <c r="E53" s="230"/>
      <c r="F53" s="103"/>
      <c r="G53" s="104"/>
      <c r="H53" s="103"/>
      <c r="I53" s="104"/>
      <c r="J53" s="103"/>
      <c r="K53" s="104"/>
      <c r="L53" s="103"/>
      <c r="M53" s="104"/>
      <c r="N53" s="129"/>
      <c r="O53" s="130"/>
      <c r="P53" s="129"/>
      <c r="Q53" s="130"/>
      <c r="R53" s="129"/>
      <c r="S53" s="130"/>
      <c r="T53" s="129"/>
      <c r="U53" s="130"/>
      <c r="V53" s="129"/>
      <c r="W53" s="130"/>
      <c r="X53" s="155"/>
      <c r="Y53" s="156"/>
      <c r="Z53" s="155"/>
      <c r="AA53" s="156"/>
      <c r="AB53" s="155">
        <v>2</v>
      </c>
      <c r="AC53" s="156"/>
      <c r="AD53" s="155"/>
      <c r="AE53" s="156"/>
      <c r="AF53" s="155"/>
      <c r="AG53" s="156"/>
      <c r="AH53" s="79">
        <f>AB53*2</f>
        <v>4</v>
      </c>
      <c r="AI53" s="79">
        <v>0</v>
      </c>
      <c r="AJ53" s="9"/>
      <c r="AK53" s="96"/>
    </row>
    <row r="54" spans="2:39" ht="25.35" customHeight="1">
      <c r="B54" s="552"/>
      <c r="C54" s="43" t="s">
        <v>185</v>
      </c>
      <c r="D54" s="229"/>
      <c r="E54" s="230"/>
      <c r="F54" s="103"/>
      <c r="G54" s="104"/>
      <c r="H54" s="103"/>
      <c r="I54" s="104"/>
      <c r="J54" s="103"/>
      <c r="K54" s="104"/>
      <c r="L54" s="103"/>
      <c r="M54" s="104"/>
      <c r="N54" s="129"/>
      <c r="O54" s="130"/>
      <c r="P54" s="129"/>
      <c r="Q54" s="130"/>
      <c r="R54" s="129"/>
      <c r="S54" s="130"/>
      <c r="T54" s="129"/>
      <c r="U54" s="130"/>
      <c r="V54" s="129"/>
      <c r="W54" s="130"/>
      <c r="X54" s="155"/>
      <c r="Y54" s="156"/>
      <c r="Z54" s="155"/>
      <c r="AA54" s="156"/>
      <c r="AB54" s="155">
        <v>2</v>
      </c>
      <c r="AC54" s="156">
        <v>2</v>
      </c>
      <c r="AD54" s="155"/>
      <c r="AE54" s="156"/>
      <c r="AF54" s="155"/>
      <c r="AG54" s="156"/>
      <c r="AH54" s="79">
        <f>AB54*2</f>
        <v>4</v>
      </c>
      <c r="AI54" s="79">
        <f>AC54*2</f>
        <v>4</v>
      </c>
      <c r="AJ54" s="9"/>
      <c r="AK54" s="96"/>
    </row>
    <row r="55" spans="2:39" ht="25.35" customHeight="1">
      <c r="B55" s="552"/>
      <c r="C55" s="217" t="s">
        <v>211</v>
      </c>
      <c r="D55" s="258"/>
      <c r="E55" s="259"/>
      <c r="F55" s="103"/>
      <c r="G55" s="104"/>
      <c r="H55" s="103"/>
      <c r="I55" s="104"/>
      <c r="J55" s="103"/>
      <c r="K55" s="104"/>
      <c r="L55" s="103"/>
      <c r="M55" s="104"/>
      <c r="N55" s="129"/>
      <c r="O55" s="130"/>
      <c r="P55" s="129">
        <v>2</v>
      </c>
      <c r="Q55" s="130"/>
      <c r="R55" s="220">
        <v>2</v>
      </c>
      <c r="S55" s="221"/>
      <c r="T55" s="220">
        <v>2</v>
      </c>
      <c r="U55" s="221"/>
      <c r="V55" s="220">
        <v>2</v>
      </c>
      <c r="W55" s="221"/>
      <c r="X55" s="167"/>
      <c r="Y55" s="168"/>
      <c r="Z55" s="175"/>
      <c r="AA55" s="176"/>
      <c r="AB55" s="175"/>
      <c r="AC55" s="176"/>
      <c r="AD55" s="175"/>
      <c r="AE55" s="176"/>
      <c r="AF55" s="175"/>
      <c r="AG55" s="176"/>
      <c r="AH55" s="223">
        <v>2</v>
      </c>
      <c r="AI55" s="223">
        <v>0</v>
      </c>
      <c r="AJ55" s="9"/>
      <c r="AK55" s="96"/>
    </row>
    <row r="56" spans="2:39" ht="25.35" customHeight="1">
      <c r="B56" s="552"/>
      <c r="C56" s="217" t="s">
        <v>210</v>
      </c>
      <c r="D56" s="258"/>
      <c r="E56" s="259"/>
      <c r="F56" s="103"/>
      <c r="G56" s="104"/>
      <c r="H56" s="103"/>
      <c r="I56" s="104"/>
      <c r="J56" s="103"/>
      <c r="K56" s="104"/>
      <c r="L56" s="103"/>
      <c r="M56" s="104"/>
      <c r="N56" s="129"/>
      <c r="O56" s="130"/>
      <c r="P56" s="129">
        <v>2</v>
      </c>
      <c r="Q56" s="130"/>
      <c r="R56" s="220">
        <v>2</v>
      </c>
      <c r="S56" s="221"/>
      <c r="T56" s="220">
        <v>2</v>
      </c>
      <c r="U56" s="221"/>
      <c r="V56" s="220">
        <v>2</v>
      </c>
      <c r="W56" s="221"/>
      <c r="X56" s="155"/>
      <c r="Y56" s="156"/>
      <c r="Z56" s="175"/>
      <c r="AA56" s="176"/>
      <c r="AB56" s="175"/>
      <c r="AC56" s="176"/>
      <c r="AD56" s="175"/>
      <c r="AE56" s="176"/>
      <c r="AF56" s="175"/>
      <c r="AG56" s="176"/>
      <c r="AH56" s="223">
        <v>2</v>
      </c>
      <c r="AI56" s="223">
        <v>0</v>
      </c>
      <c r="AJ56" s="9"/>
      <c r="AK56" s="96"/>
    </row>
    <row r="57" spans="2:39" ht="25.35" customHeight="1">
      <c r="B57" s="552"/>
      <c r="C57" s="217" t="s">
        <v>199</v>
      </c>
      <c r="D57" s="258"/>
      <c r="E57" s="259"/>
      <c r="F57" s="119"/>
      <c r="G57" s="120"/>
      <c r="H57" s="119"/>
      <c r="I57" s="120"/>
      <c r="J57" s="119"/>
      <c r="K57" s="120"/>
      <c r="L57" s="119"/>
      <c r="M57" s="120"/>
      <c r="N57" s="149"/>
      <c r="O57" s="150"/>
      <c r="P57" s="149"/>
      <c r="Q57" s="150"/>
      <c r="R57" s="220"/>
      <c r="S57" s="221">
        <v>2</v>
      </c>
      <c r="T57" s="220"/>
      <c r="U57" s="221"/>
      <c r="V57" s="220"/>
      <c r="W57" s="221">
        <v>2</v>
      </c>
      <c r="X57" s="155"/>
      <c r="Y57" s="156"/>
      <c r="Z57" s="175"/>
      <c r="AA57" s="176"/>
      <c r="AB57" s="175"/>
      <c r="AC57" s="176"/>
      <c r="AD57" s="175"/>
      <c r="AE57" s="176"/>
      <c r="AF57" s="175"/>
      <c r="AG57" s="176"/>
      <c r="AH57" s="222">
        <f>J57+R57</f>
        <v>0</v>
      </c>
      <c r="AI57" s="222">
        <f>K57+2</f>
        <v>2</v>
      </c>
      <c r="AJ57" s="9"/>
      <c r="AK57" s="96"/>
    </row>
    <row r="58" spans="2:39" ht="25.35" customHeight="1">
      <c r="B58" s="552"/>
      <c r="C58" s="217" t="s">
        <v>223</v>
      </c>
      <c r="D58" s="258"/>
      <c r="E58" s="259"/>
      <c r="F58" s="119"/>
      <c r="G58" s="120"/>
      <c r="H58" s="119"/>
      <c r="I58" s="120"/>
      <c r="J58" s="119"/>
      <c r="K58" s="120"/>
      <c r="L58" s="119"/>
      <c r="M58" s="120"/>
      <c r="N58" s="149"/>
      <c r="O58" s="150"/>
      <c r="P58" s="149"/>
      <c r="Q58" s="150"/>
      <c r="R58" s="220"/>
      <c r="S58" s="221">
        <v>2</v>
      </c>
      <c r="T58" s="220"/>
      <c r="U58" s="221"/>
      <c r="V58" s="220"/>
      <c r="W58" s="221">
        <v>2</v>
      </c>
      <c r="X58" s="155"/>
      <c r="Y58" s="156"/>
      <c r="Z58" s="175"/>
      <c r="AA58" s="176"/>
      <c r="AB58" s="175"/>
      <c r="AC58" s="176"/>
      <c r="AD58" s="175"/>
      <c r="AE58" s="176"/>
      <c r="AF58" s="175"/>
      <c r="AG58" s="176"/>
      <c r="AH58" s="223">
        <v>0</v>
      </c>
      <c r="AI58" s="223">
        <v>2</v>
      </c>
      <c r="AJ58" s="9"/>
      <c r="AK58" s="96"/>
    </row>
    <row r="59" spans="2:39" ht="25.35" customHeight="1">
      <c r="B59" s="552"/>
      <c r="C59" s="217" t="s">
        <v>125</v>
      </c>
      <c r="D59" s="258"/>
      <c r="E59" s="259"/>
      <c r="F59" s="103"/>
      <c r="G59" s="104"/>
      <c r="H59" s="103"/>
      <c r="I59" s="104"/>
      <c r="J59" s="103"/>
      <c r="K59" s="104"/>
      <c r="L59" s="103"/>
      <c r="M59" s="104"/>
      <c r="N59" s="129"/>
      <c r="O59" s="130"/>
      <c r="P59" s="129"/>
      <c r="Q59" s="130"/>
      <c r="R59" s="220">
        <v>1</v>
      </c>
      <c r="S59" s="221"/>
      <c r="T59" s="220"/>
      <c r="U59" s="221"/>
      <c r="V59" s="220"/>
      <c r="W59" s="221"/>
      <c r="X59" s="155"/>
      <c r="Y59" s="156"/>
      <c r="Z59" s="175"/>
      <c r="AA59" s="176"/>
      <c r="AB59" s="175"/>
      <c r="AC59" s="176"/>
      <c r="AD59" s="175"/>
      <c r="AE59" s="176"/>
      <c r="AF59" s="175"/>
      <c r="AG59" s="176"/>
      <c r="AH59" s="223">
        <v>1</v>
      </c>
      <c r="AI59" s="223">
        <v>0</v>
      </c>
      <c r="AJ59" s="9"/>
      <c r="AK59" s="96"/>
    </row>
    <row r="60" spans="2:39" ht="25.35" customHeight="1">
      <c r="B60" s="552"/>
      <c r="C60" s="217" t="s">
        <v>126</v>
      </c>
      <c r="D60" s="258"/>
      <c r="E60" s="259"/>
      <c r="F60" s="103"/>
      <c r="G60" s="104"/>
      <c r="H60" s="103"/>
      <c r="I60" s="104"/>
      <c r="J60" s="103"/>
      <c r="K60" s="104"/>
      <c r="L60" s="103"/>
      <c r="M60" s="104"/>
      <c r="N60" s="129"/>
      <c r="O60" s="130"/>
      <c r="P60" s="129"/>
      <c r="Q60" s="130"/>
      <c r="R60" s="220">
        <v>1</v>
      </c>
      <c r="S60" s="221"/>
      <c r="T60" s="220"/>
      <c r="U60" s="221"/>
      <c r="V60" s="220"/>
      <c r="W60" s="221"/>
      <c r="X60" s="175"/>
      <c r="Y60" s="176"/>
      <c r="Z60" s="175"/>
      <c r="AA60" s="176"/>
      <c r="AB60" s="175"/>
      <c r="AC60" s="176"/>
      <c r="AD60" s="175"/>
      <c r="AE60" s="176"/>
      <c r="AF60" s="175"/>
      <c r="AG60" s="176"/>
      <c r="AH60" s="223">
        <v>1</v>
      </c>
      <c r="AI60" s="223">
        <v>0</v>
      </c>
      <c r="AJ60" s="9"/>
      <c r="AK60" s="96"/>
    </row>
    <row r="61" spans="2:39" ht="25.35" customHeight="1">
      <c r="B61" s="552"/>
      <c r="C61" s="217" t="s">
        <v>121</v>
      </c>
      <c r="D61" s="258"/>
      <c r="E61" s="259"/>
      <c r="F61" s="103"/>
      <c r="G61" s="104"/>
      <c r="H61" s="103"/>
      <c r="I61" s="104"/>
      <c r="J61" s="103"/>
      <c r="K61" s="104"/>
      <c r="L61" s="103"/>
      <c r="M61" s="104"/>
      <c r="N61" s="129"/>
      <c r="O61" s="130"/>
      <c r="P61" s="129"/>
      <c r="Q61" s="130"/>
      <c r="R61" s="220"/>
      <c r="S61" s="221">
        <v>1</v>
      </c>
      <c r="T61" s="220"/>
      <c r="U61" s="221"/>
      <c r="V61" s="220"/>
      <c r="W61" s="221"/>
      <c r="X61" s="175"/>
      <c r="Y61" s="176"/>
      <c r="Z61" s="175"/>
      <c r="AA61" s="176"/>
      <c r="AB61" s="175"/>
      <c r="AC61" s="176"/>
      <c r="AD61" s="175"/>
      <c r="AE61" s="176"/>
      <c r="AF61" s="175"/>
      <c r="AG61" s="176"/>
      <c r="AH61" s="223">
        <v>0</v>
      </c>
      <c r="AI61" s="223">
        <v>1</v>
      </c>
      <c r="AJ61" s="9"/>
      <c r="AK61" s="96"/>
    </row>
    <row r="62" spans="2:39" ht="25.35" customHeight="1" thickBot="1">
      <c r="B62" s="552"/>
      <c r="C62" s="217" t="s">
        <v>120</v>
      </c>
      <c r="D62" s="258"/>
      <c r="E62" s="259"/>
      <c r="F62" s="103"/>
      <c r="G62" s="104"/>
      <c r="H62" s="103"/>
      <c r="I62" s="104"/>
      <c r="J62" s="103"/>
      <c r="K62" s="104"/>
      <c r="L62" s="103"/>
      <c r="M62" s="104"/>
      <c r="N62" s="129"/>
      <c r="O62" s="130"/>
      <c r="P62" s="129"/>
      <c r="Q62" s="130"/>
      <c r="R62" s="220"/>
      <c r="S62" s="221">
        <v>1</v>
      </c>
      <c r="T62" s="220"/>
      <c r="U62" s="221"/>
      <c r="V62" s="220"/>
      <c r="W62" s="221"/>
      <c r="X62" s="175"/>
      <c r="Y62" s="176"/>
      <c r="Z62" s="175"/>
      <c r="AA62" s="176"/>
      <c r="AB62" s="175"/>
      <c r="AC62" s="176"/>
      <c r="AD62" s="175"/>
      <c r="AE62" s="176"/>
      <c r="AF62" s="175"/>
      <c r="AG62" s="176"/>
      <c r="AH62" s="223">
        <v>0</v>
      </c>
      <c r="AI62" s="223">
        <v>1</v>
      </c>
      <c r="AJ62" s="9"/>
      <c r="AK62" s="96"/>
    </row>
    <row r="63" spans="2:39" ht="25.35" customHeight="1" thickTop="1">
      <c r="B63" s="550" t="s">
        <v>11</v>
      </c>
      <c r="C63" s="14" t="s">
        <v>0</v>
      </c>
      <c r="D63" s="245"/>
      <c r="E63" s="246"/>
      <c r="F63" s="101">
        <v>2</v>
      </c>
      <c r="G63" s="102">
        <v>2</v>
      </c>
      <c r="H63" s="101">
        <v>2</v>
      </c>
      <c r="I63" s="102">
        <v>2</v>
      </c>
      <c r="J63" s="101">
        <v>2</v>
      </c>
      <c r="K63" s="102">
        <v>2</v>
      </c>
      <c r="L63" s="101">
        <v>2</v>
      </c>
      <c r="M63" s="102">
        <v>2</v>
      </c>
      <c r="N63" s="128"/>
      <c r="O63" s="139"/>
      <c r="P63" s="128"/>
      <c r="Q63" s="139"/>
      <c r="R63" s="128"/>
      <c r="S63" s="139"/>
      <c r="T63" s="128"/>
      <c r="U63" s="139"/>
      <c r="V63" s="128"/>
      <c r="W63" s="139"/>
      <c r="X63" s="153"/>
      <c r="Y63" s="154"/>
      <c r="Z63" s="153"/>
      <c r="AA63" s="154"/>
      <c r="AB63" s="153"/>
      <c r="AC63" s="154"/>
      <c r="AD63" s="153"/>
      <c r="AE63" s="154"/>
      <c r="AF63" s="153"/>
      <c r="AG63" s="154"/>
      <c r="AH63" s="75">
        <f>F63*2+H63*2+J63*2+L63*2+P63*3+R63*2+T63*2+V63*2+Z63*3+AB63*2+AD63*2+AF63*2</f>
        <v>16</v>
      </c>
      <c r="AI63" s="75">
        <f>G63*2+I63*2+K63*2+M63*2+Q63*3+S63*2+U63*2+W63*2+AA63*3+AC63*2+AE63*2+AG63*2</f>
        <v>16</v>
      </c>
      <c r="AJ63" s="5">
        <f>SUM(AH63:AH81)</f>
        <v>122</v>
      </c>
      <c r="AK63" s="5">
        <f>SUM(AI63:AI81)</f>
        <v>122</v>
      </c>
    </row>
    <row r="64" spans="2:39" ht="25.35" customHeight="1">
      <c r="B64" s="551"/>
      <c r="C64" s="16" t="s">
        <v>44</v>
      </c>
      <c r="D64" s="247"/>
      <c r="E64" s="248"/>
      <c r="F64" s="115"/>
      <c r="G64" s="116"/>
      <c r="H64" s="115"/>
      <c r="I64" s="116"/>
      <c r="J64" s="115"/>
      <c r="K64" s="116"/>
      <c r="L64" s="115"/>
      <c r="M64" s="116"/>
      <c r="N64" s="140"/>
      <c r="O64" s="141"/>
      <c r="P64" s="140">
        <v>4</v>
      </c>
      <c r="Q64" s="141">
        <v>4</v>
      </c>
      <c r="R64" s="140">
        <v>4</v>
      </c>
      <c r="S64" s="141">
        <v>4</v>
      </c>
      <c r="T64" s="140">
        <v>4</v>
      </c>
      <c r="U64" s="141">
        <v>4</v>
      </c>
      <c r="V64" s="140"/>
      <c r="W64" s="141"/>
      <c r="X64" s="167"/>
      <c r="Y64" s="168"/>
      <c r="Z64" s="167"/>
      <c r="AA64" s="168"/>
      <c r="AB64" s="167"/>
      <c r="AC64" s="168"/>
      <c r="AD64" s="167"/>
      <c r="AE64" s="168"/>
      <c r="AF64" s="167"/>
      <c r="AG64" s="168"/>
      <c r="AH64" s="79">
        <f>F64*3+H64*2+J64*2+L64*2+P64*3+R64*2+T64*2+V64*2+Z64*3+AB64*2+AD64*2+AF64*2</f>
        <v>28</v>
      </c>
      <c r="AI64" s="79">
        <f>G64*3+I64*2+K64*2+M64*2+Q64*3+S64*2+U64*2+W64*2+AA64*3+AC64*2+AE64*2+AG64*2</f>
        <v>28</v>
      </c>
      <c r="AJ64" s="8"/>
      <c r="AK64" s="8"/>
      <c r="AM64" s="224"/>
    </row>
    <row r="65" spans="2:39" ht="25.35" customHeight="1">
      <c r="B65" s="551"/>
      <c r="C65" s="55" t="s">
        <v>83</v>
      </c>
      <c r="D65" s="231"/>
      <c r="E65" s="232"/>
      <c r="F65" s="115"/>
      <c r="G65" s="116"/>
      <c r="H65" s="115"/>
      <c r="I65" s="116"/>
      <c r="J65" s="115"/>
      <c r="K65" s="116"/>
      <c r="L65" s="115"/>
      <c r="M65" s="116"/>
      <c r="N65" s="140"/>
      <c r="O65" s="141"/>
      <c r="P65" s="140"/>
      <c r="Q65" s="141"/>
      <c r="R65" s="140"/>
      <c r="S65" s="141"/>
      <c r="T65" s="140"/>
      <c r="U65" s="141"/>
      <c r="V65" s="140">
        <v>3</v>
      </c>
      <c r="W65" s="141">
        <v>3</v>
      </c>
      <c r="X65" s="167"/>
      <c r="Y65" s="168"/>
      <c r="Z65" s="167"/>
      <c r="AA65" s="168"/>
      <c r="AB65" s="167"/>
      <c r="AC65" s="168"/>
      <c r="AD65" s="167"/>
      <c r="AE65" s="168"/>
      <c r="AF65" s="167"/>
      <c r="AG65" s="168"/>
      <c r="AH65" s="79">
        <f>F65*3+H65*2+J65*2+L65*2+P65*3+R65*2+T65*2+V65*2+Z65*3+AB65*2+AD65*2+AF65*2</f>
        <v>6</v>
      </c>
      <c r="AI65" s="79">
        <f>G65*3+I65*2+K65*2+M65*2+Q65*3+S65*2+U65*2+W65*2+AA65*3+AC65*2+AE65*2+AG65*2</f>
        <v>6</v>
      </c>
      <c r="AJ65" s="8"/>
      <c r="AK65" s="8"/>
      <c r="AM65" s="224"/>
    </row>
    <row r="66" spans="2:39" ht="25.35" customHeight="1">
      <c r="B66" s="551"/>
      <c r="C66" s="43" t="s">
        <v>94</v>
      </c>
      <c r="D66" s="229"/>
      <c r="E66" s="230"/>
      <c r="F66" s="103"/>
      <c r="G66" s="104"/>
      <c r="H66" s="103"/>
      <c r="I66" s="104"/>
      <c r="J66" s="103"/>
      <c r="K66" s="104"/>
      <c r="L66" s="103"/>
      <c r="M66" s="104"/>
      <c r="N66" s="129"/>
      <c r="O66" s="130"/>
      <c r="P66" s="129"/>
      <c r="Q66" s="130"/>
      <c r="R66" s="129"/>
      <c r="S66" s="130"/>
      <c r="T66" s="129"/>
      <c r="U66" s="130"/>
      <c r="V66" s="129"/>
      <c r="W66" s="130"/>
      <c r="X66" s="167"/>
      <c r="Y66" s="168"/>
      <c r="Z66" s="155">
        <v>3</v>
      </c>
      <c r="AA66" s="156">
        <v>3</v>
      </c>
      <c r="AB66" s="155">
        <v>4</v>
      </c>
      <c r="AC66" s="156">
        <v>4</v>
      </c>
      <c r="AD66" s="155">
        <v>4</v>
      </c>
      <c r="AE66" s="156">
        <v>4</v>
      </c>
      <c r="AF66" s="155">
        <v>3</v>
      </c>
      <c r="AG66" s="156">
        <v>3</v>
      </c>
      <c r="AH66" s="79">
        <f>Z66*2+AB66*2+AD66*2+AF66*2</f>
        <v>28</v>
      </c>
      <c r="AI66" s="79">
        <f>AA66*2+AC66*2+AE66*2+AG66*2</f>
        <v>28</v>
      </c>
      <c r="AJ66" s="8"/>
      <c r="AK66" s="8"/>
      <c r="AM66" s="224"/>
    </row>
    <row r="67" spans="2:39" ht="25.35" customHeight="1">
      <c r="B67" s="551"/>
      <c r="C67" s="56" t="s">
        <v>79</v>
      </c>
      <c r="D67" s="249"/>
      <c r="E67" s="250"/>
      <c r="F67" s="103"/>
      <c r="G67" s="104"/>
      <c r="H67" s="103"/>
      <c r="I67" s="104"/>
      <c r="J67" s="103"/>
      <c r="K67" s="104"/>
      <c r="L67" s="103"/>
      <c r="M67" s="104"/>
      <c r="N67" s="129"/>
      <c r="O67" s="130"/>
      <c r="P67" s="129"/>
      <c r="Q67" s="130"/>
      <c r="R67" s="129"/>
      <c r="S67" s="130"/>
      <c r="T67" s="129"/>
      <c r="U67" s="130"/>
      <c r="V67" s="129"/>
      <c r="W67" s="130"/>
      <c r="X67" s="155"/>
      <c r="Y67" s="156"/>
      <c r="Z67" s="155">
        <v>2</v>
      </c>
      <c r="AA67" s="156">
        <v>2</v>
      </c>
      <c r="AB67" s="155">
        <v>2</v>
      </c>
      <c r="AC67" s="156">
        <v>2</v>
      </c>
      <c r="AD67" s="155">
        <v>2</v>
      </c>
      <c r="AE67" s="156">
        <v>2</v>
      </c>
      <c r="AF67" s="155">
        <v>2</v>
      </c>
      <c r="AG67" s="156">
        <v>2</v>
      </c>
      <c r="AH67" s="79">
        <f>F67*2+H67*2+J67*2+L67*2+P67*3+R67*2+T67*2+V67*2+Z67*2+AB67*2+AD67*2+AF67*2</f>
        <v>16</v>
      </c>
      <c r="AI67" s="79">
        <f>G67*2+I67*2+K67*2+M67*2+Q67*3+S67*2+U67*2+W67*2+AA67*2+AC67*2+AE67*2+AG67*2</f>
        <v>16</v>
      </c>
      <c r="AJ67" s="8"/>
      <c r="AK67" s="8"/>
    </row>
    <row r="68" spans="2:39" ht="24.95" customHeight="1">
      <c r="B68" s="551"/>
      <c r="C68" s="55" t="s">
        <v>58</v>
      </c>
      <c r="D68" s="231"/>
      <c r="E68" s="232"/>
      <c r="F68" s="115"/>
      <c r="G68" s="116"/>
      <c r="H68" s="115">
        <v>2</v>
      </c>
      <c r="I68" s="116">
        <v>2</v>
      </c>
      <c r="J68" s="115">
        <v>2</v>
      </c>
      <c r="K68" s="116">
        <v>2</v>
      </c>
      <c r="L68" s="115"/>
      <c r="M68" s="116"/>
      <c r="N68" s="129"/>
      <c r="O68" s="130"/>
      <c r="P68" s="129"/>
      <c r="Q68" s="130"/>
      <c r="R68" s="129"/>
      <c r="S68" s="130"/>
      <c r="T68" s="129"/>
      <c r="U68" s="130"/>
      <c r="V68" s="129"/>
      <c r="W68" s="130"/>
      <c r="X68" s="155"/>
      <c r="Y68" s="156"/>
      <c r="Z68" s="167"/>
      <c r="AA68" s="168"/>
      <c r="AB68" s="167"/>
      <c r="AC68" s="168"/>
      <c r="AD68" s="167"/>
      <c r="AE68" s="168"/>
      <c r="AF68" s="167"/>
      <c r="AG68" s="168"/>
      <c r="AH68" s="79">
        <f t="shared" ref="AH68:AI72" si="2">F68*3+H68*2+J68*2+L68*2+P68*3+R68*2+T68*2+V68*2+Z68*3+AB68*2+AD68*2+AF68*2</f>
        <v>8</v>
      </c>
      <c r="AI68" s="79">
        <f t="shared" si="2"/>
        <v>8</v>
      </c>
      <c r="AJ68" s="8"/>
      <c r="AK68" s="8"/>
    </row>
    <row r="69" spans="2:39" ht="25.35" customHeight="1">
      <c r="B69" s="551"/>
      <c r="C69" s="43" t="s">
        <v>64</v>
      </c>
      <c r="D69" s="229"/>
      <c r="E69" s="230"/>
      <c r="F69" s="103"/>
      <c r="G69" s="104"/>
      <c r="H69" s="103"/>
      <c r="I69" s="104"/>
      <c r="J69" s="103"/>
      <c r="K69" s="104"/>
      <c r="L69" s="103"/>
      <c r="M69" s="104"/>
      <c r="N69" s="129"/>
      <c r="O69" s="130"/>
      <c r="P69" s="129"/>
      <c r="Q69" s="130"/>
      <c r="R69" s="129"/>
      <c r="S69" s="130"/>
      <c r="T69" s="129">
        <v>2</v>
      </c>
      <c r="U69" s="130">
        <v>2</v>
      </c>
      <c r="V69" s="129"/>
      <c r="W69" s="130"/>
      <c r="X69" s="155"/>
      <c r="Y69" s="156"/>
      <c r="Z69" s="155"/>
      <c r="AA69" s="156"/>
      <c r="AB69" s="155"/>
      <c r="AC69" s="156"/>
      <c r="AD69" s="155"/>
      <c r="AE69" s="156"/>
      <c r="AF69" s="155"/>
      <c r="AG69" s="156"/>
      <c r="AH69" s="79">
        <f t="shared" si="2"/>
        <v>4</v>
      </c>
      <c r="AI69" s="79">
        <f t="shared" si="2"/>
        <v>4</v>
      </c>
      <c r="AJ69" s="8"/>
      <c r="AK69" s="8"/>
    </row>
    <row r="70" spans="2:39" ht="25.35" customHeight="1">
      <c r="B70" s="552"/>
      <c r="C70" s="56" t="s">
        <v>74</v>
      </c>
      <c r="D70" s="249"/>
      <c r="E70" s="250"/>
      <c r="F70" s="103"/>
      <c r="G70" s="104"/>
      <c r="H70" s="103"/>
      <c r="I70" s="104"/>
      <c r="J70" s="103"/>
      <c r="K70" s="104"/>
      <c r="L70" s="103"/>
      <c r="M70" s="104"/>
      <c r="N70" s="129"/>
      <c r="O70" s="130"/>
      <c r="P70" s="129"/>
      <c r="Q70" s="130"/>
      <c r="R70" s="129"/>
      <c r="S70" s="130"/>
      <c r="T70" s="129"/>
      <c r="U70" s="130"/>
      <c r="V70" s="129"/>
      <c r="W70" s="130"/>
      <c r="X70" s="155"/>
      <c r="Y70" s="156"/>
      <c r="Z70" s="155"/>
      <c r="AA70" s="156"/>
      <c r="AB70" s="155"/>
      <c r="AC70" s="156"/>
      <c r="AD70" s="155"/>
      <c r="AE70" s="156">
        <v>2</v>
      </c>
      <c r="AF70" s="155"/>
      <c r="AG70" s="156"/>
      <c r="AH70" s="79">
        <f t="shared" si="2"/>
        <v>0</v>
      </c>
      <c r="AI70" s="79">
        <f t="shared" si="2"/>
        <v>4</v>
      </c>
      <c r="AJ70" s="9"/>
      <c r="AK70" s="96"/>
    </row>
    <row r="71" spans="2:39" ht="25.35" customHeight="1">
      <c r="B71" s="552"/>
      <c r="C71" s="56" t="s">
        <v>75</v>
      </c>
      <c r="D71" s="249"/>
      <c r="E71" s="250"/>
      <c r="F71" s="103"/>
      <c r="G71" s="104"/>
      <c r="H71" s="103"/>
      <c r="I71" s="104"/>
      <c r="J71" s="103"/>
      <c r="K71" s="104"/>
      <c r="L71" s="103"/>
      <c r="M71" s="104"/>
      <c r="N71" s="129"/>
      <c r="O71" s="130"/>
      <c r="P71" s="129"/>
      <c r="Q71" s="130"/>
      <c r="R71" s="129"/>
      <c r="S71" s="130"/>
      <c r="T71" s="129"/>
      <c r="U71" s="130"/>
      <c r="V71" s="129"/>
      <c r="W71" s="130"/>
      <c r="X71" s="155"/>
      <c r="Y71" s="156"/>
      <c r="Z71" s="155"/>
      <c r="AA71" s="156"/>
      <c r="AB71" s="155"/>
      <c r="AC71" s="156"/>
      <c r="AD71" s="155">
        <v>2</v>
      </c>
      <c r="AE71" s="173"/>
      <c r="AF71" s="155"/>
      <c r="AG71" s="173"/>
      <c r="AH71" s="79">
        <f t="shared" si="2"/>
        <v>4</v>
      </c>
      <c r="AI71" s="79">
        <f t="shared" si="2"/>
        <v>0</v>
      </c>
      <c r="AJ71" s="9"/>
      <c r="AK71" s="96"/>
    </row>
    <row r="72" spans="2:39" ht="25.35" customHeight="1">
      <c r="B72" s="552"/>
      <c r="C72" s="43" t="s">
        <v>185</v>
      </c>
      <c r="D72" s="249"/>
      <c r="E72" s="250"/>
      <c r="F72" s="103"/>
      <c r="G72" s="104"/>
      <c r="H72" s="103"/>
      <c r="I72" s="104"/>
      <c r="J72" s="103"/>
      <c r="K72" s="104"/>
      <c r="L72" s="103"/>
      <c r="M72" s="104"/>
      <c r="N72" s="129"/>
      <c r="O72" s="130"/>
      <c r="P72" s="129"/>
      <c r="Q72" s="130"/>
      <c r="R72" s="129"/>
      <c r="S72" s="130"/>
      <c r="T72" s="129"/>
      <c r="U72" s="130"/>
      <c r="V72" s="129"/>
      <c r="W72" s="130"/>
      <c r="X72" s="175"/>
      <c r="Y72" s="176"/>
      <c r="Z72" s="155"/>
      <c r="AA72" s="156"/>
      <c r="AB72" s="155"/>
      <c r="AC72" s="156"/>
      <c r="AD72" s="155">
        <v>2</v>
      </c>
      <c r="AE72" s="176">
        <v>2</v>
      </c>
      <c r="AF72" s="155"/>
      <c r="AG72" s="156"/>
      <c r="AH72" s="79">
        <f t="shared" si="2"/>
        <v>4</v>
      </c>
      <c r="AI72" s="79">
        <f t="shared" si="2"/>
        <v>4</v>
      </c>
      <c r="AJ72" s="9"/>
      <c r="AK72" s="96"/>
    </row>
    <row r="73" spans="2:39" ht="25.35" customHeight="1">
      <c r="B73" s="552"/>
      <c r="C73" s="43" t="s">
        <v>184</v>
      </c>
      <c r="D73" s="229"/>
      <c r="E73" s="230"/>
      <c r="F73" s="103"/>
      <c r="G73" s="104"/>
      <c r="H73" s="103"/>
      <c r="I73" s="104"/>
      <c r="J73" s="103">
        <v>1</v>
      </c>
      <c r="K73" s="104">
        <v>1</v>
      </c>
      <c r="L73" s="103"/>
      <c r="M73" s="104"/>
      <c r="N73" s="129"/>
      <c r="O73" s="130"/>
      <c r="P73" s="129"/>
      <c r="Q73" s="130"/>
      <c r="R73" s="129"/>
      <c r="S73" s="130"/>
      <c r="T73" s="129"/>
      <c r="U73" s="130"/>
      <c r="V73" s="129"/>
      <c r="W73" s="130"/>
      <c r="X73" s="175"/>
      <c r="Y73" s="176"/>
      <c r="Z73" s="155"/>
      <c r="AA73" s="156"/>
      <c r="AB73" s="155"/>
      <c r="AC73" s="156"/>
      <c r="AD73" s="155"/>
      <c r="AE73" s="156"/>
      <c r="AF73" s="155"/>
      <c r="AG73" s="156"/>
      <c r="AH73" s="79">
        <v>2</v>
      </c>
      <c r="AI73" s="79">
        <v>2</v>
      </c>
      <c r="AJ73" s="9"/>
      <c r="AK73" s="96"/>
    </row>
    <row r="74" spans="2:39" ht="25.35" customHeight="1">
      <c r="B74" s="552"/>
      <c r="C74" s="217" t="s">
        <v>171</v>
      </c>
      <c r="D74" s="249"/>
      <c r="E74" s="249"/>
      <c r="F74" s="103"/>
      <c r="G74" s="120"/>
      <c r="H74" s="119"/>
      <c r="I74" s="120"/>
      <c r="J74" s="119"/>
      <c r="K74" s="120"/>
      <c r="L74" s="119"/>
      <c r="M74" s="120"/>
      <c r="N74" s="149"/>
      <c r="O74" s="150"/>
      <c r="P74" s="149"/>
      <c r="Q74" s="150"/>
      <c r="R74" s="149"/>
      <c r="S74" s="150"/>
      <c r="T74" s="220">
        <v>1</v>
      </c>
      <c r="U74" s="221"/>
      <c r="V74" s="220"/>
      <c r="W74" s="221"/>
      <c r="X74" s="167"/>
      <c r="Y74" s="168"/>
      <c r="Z74" s="175"/>
      <c r="AA74" s="176"/>
      <c r="AB74" s="175"/>
      <c r="AC74" s="176"/>
      <c r="AD74" s="175"/>
      <c r="AE74" s="176"/>
      <c r="AF74" s="175"/>
      <c r="AG74" s="176"/>
      <c r="AH74" s="222">
        <v>1</v>
      </c>
      <c r="AI74" s="222">
        <v>0</v>
      </c>
      <c r="AJ74" s="9"/>
      <c r="AK74" s="96"/>
    </row>
    <row r="75" spans="2:39" ht="25.35" customHeight="1">
      <c r="B75" s="552"/>
      <c r="C75" s="217" t="s">
        <v>170</v>
      </c>
      <c r="D75" s="249"/>
      <c r="E75" s="249"/>
      <c r="F75" s="103"/>
      <c r="G75" s="120"/>
      <c r="H75" s="119"/>
      <c r="I75" s="120"/>
      <c r="J75" s="119"/>
      <c r="K75" s="120"/>
      <c r="L75" s="119"/>
      <c r="M75" s="120"/>
      <c r="N75" s="149"/>
      <c r="O75" s="150"/>
      <c r="P75" s="149"/>
      <c r="Q75" s="150"/>
      <c r="R75" s="149"/>
      <c r="S75" s="150"/>
      <c r="T75" s="220">
        <v>1</v>
      </c>
      <c r="U75" s="221"/>
      <c r="V75" s="220"/>
      <c r="W75" s="221"/>
      <c r="X75" s="155"/>
      <c r="Y75" s="156"/>
      <c r="Z75" s="175"/>
      <c r="AA75" s="176"/>
      <c r="AB75" s="175"/>
      <c r="AC75" s="176"/>
      <c r="AD75" s="175"/>
      <c r="AE75" s="176"/>
      <c r="AF75" s="175"/>
      <c r="AG75" s="176"/>
      <c r="AH75" s="222">
        <v>1</v>
      </c>
      <c r="AI75" s="222">
        <v>0</v>
      </c>
      <c r="AJ75" s="9"/>
      <c r="AK75" s="96"/>
    </row>
    <row r="76" spans="2:39" ht="25.35" customHeight="1">
      <c r="B76" s="552"/>
      <c r="C76" s="217" t="s">
        <v>168</v>
      </c>
      <c r="D76" s="249"/>
      <c r="E76" s="249"/>
      <c r="F76" s="103"/>
      <c r="G76" s="120"/>
      <c r="H76" s="119"/>
      <c r="I76" s="120"/>
      <c r="J76" s="119"/>
      <c r="K76" s="120"/>
      <c r="L76" s="119"/>
      <c r="M76" s="120"/>
      <c r="N76" s="149"/>
      <c r="O76" s="150"/>
      <c r="P76" s="149"/>
      <c r="Q76" s="150"/>
      <c r="R76" s="149"/>
      <c r="S76" s="150"/>
      <c r="T76" s="220"/>
      <c r="U76" s="221">
        <v>1</v>
      </c>
      <c r="V76" s="220"/>
      <c r="W76" s="221"/>
      <c r="X76" s="155"/>
      <c r="Y76" s="156"/>
      <c r="Z76" s="175"/>
      <c r="AA76" s="176"/>
      <c r="AB76" s="175"/>
      <c r="AC76" s="176"/>
      <c r="AD76" s="175"/>
      <c r="AE76" s="176"/>
      <c r="AF76" s="175"/>
      <c r="AG76" s="176"/>
      <c r="AH76" s="222">
        <v>0</v>
      </c>
      <c r="AI76" s="222">
        <v>1</v>
      </c>
      <c r="AJ76" s="9"/>
      <c r="AK76" s="96"/>
    </row>
    <row r="77" spans="2:39" ht="25.35" customHeight="1">
      <c r="B77" s="552"/>
      <c r="C77" s="217" t="s">
        <v>169</v>
      </c>
      <c r="D77" s="249"/>
      <c r="E77" s="249"/>
      <c r="F77" s="103"/>
      <c r="G77" s="120"/>
      <c r="H77" s="119"/>
      <c r="I77" s="120"/>
      <c r="J77" s="119"/>
      <c r="K77" s="120"/>
      <c r="L77" s="119"/>
      <c r="M77" s="120"/>
      <c r="N77" s="149"/>
      <c r="O77" s="150"/>
      <c r="P77" s="149"/>
      <c r="Q77" s="150"/>
      <c r="R77" s="149"/>
      <c r="S77" s="150"/>
      <c r="T77" s="220"/>
      <c r="U77" s="221">
        <v>1</v>
      </c>
      <c r="V77" s="220"/>
      <c r="W77" s="221"/>
      <c r="X77" s="155"/>
      <c r="Y77" s="156"/>
      <c r="Z77" s="175"/>
      <c r="AA77" s="176"/>
      <c r="AB77" s="175"/>
      <c r="AC77" s="176"/>
      <c r="AD77" s="175"/>
      <c r="AE77" s="176"/>
      <c r="AF77" s="175"/>
      <c r="AG77" s="176"/>
      <c r="AH77" s="222">
        <v>0</v>
      </c>
      <c r="AI77" s="222">
        <v>1</v>
      </c>
      <c r="AJ77" s="9"/>
      <c r="AK77" s="96"/>
    </row>
    <row r="78" spans="2:39" ht="25.35" customHeight="1">
      <c r="B78" s="552"/>
      <c r="C78" s="217" t="s">
        <v>209</v>
      </c>
      <c r="D78" s="249"/>
      <c r="E78" s="249"/>
      <c r="F78" s="103"/>
      <c r="G78" s="120"/>
      <c r="H78" s="119"/>
      <c r="I78" s="120"/>
      <c r="J78" s="119"/>
      <c r="K78" s="120"/>
      <c r="L78" s="119"/>
      <c r="M78" s="120"/>
      <c r="N78" s="149"/>
      <c r="O78" s="150"/>
      <c r="P78" s="149">
        <v>2</v>
      </c>
      <c r="Q78" s="150"/>
      <c r="R78" s="149">
        <v>2</v>
      </c>
      <c r="S78" s="150"/>
      <c r="T78" s="220">
        <v>2</v>
      </c>
      <c r="U78" s="221"/>
      <c r="V78" s="220">
        <v>2</v>
      </c>
      <c r="W78" s="221"/>
      <c r="X78" s="155"/>
      <c r="Y78" s="156"/>
      <c r="Z78" s="175"/>
      <c r="AA78" s="176"/>
      <c r="AB78" s="175"/>
      <c r="AC78" s="176"/>
      <c r="AD78" s="175"/>
      <c r="AE78" s="176"/>
      <c r="AF78" s="175"/>
      <c r="AG78" s="176"/>
      <c r="AH78" s="222">
        <v>2</v>
      </c>
      <c r="AI78" s="222">
        <v>0</v>
      </c>
      <c r="AJ78" s="9"/>
      <c r="AK78" s="96"/>
    </row>
    <row r="79" spans="2:39" ht="25.35" customHeight="1">
      <c r="B79" s="552"/>
      <c r="C79" s="217" t="s">
        <v>208</v>
      </c>
      <c r="D79" s="249"/>
      <c r="E79" s="249"/>
      <c r="F79" s="103"/>
      <c r="G79" s="120"/>
      <c r="H79" s="119"/>
      <c r="I79" s="120"/>
      <c r="J79" s="119"/>
      <c r="K79" s="120"/>
      <c r="L79" s="119"/>
      <c r="M79" s="120"/>
      <c r="N79" s="149"/>
      <c r="O79" s="150"/>
      <c r="P79" s="149">
        <v>2</v>
      </c>
      <c r="Q79" s="150"/>
      <c r="R79" s="149">
        <v>2</v>
      </c>
      <c r="S79" s="150"/>
      <c r="T79" s="220">
        <v>2</v>
      </c>
      <c r="U79" s="221"/>
      <c r="V79" s="220">
        <v>2</v>
      </c>
      <c r="W79" s="221"/>
      <c r="X79" s="155"/>
      <c r="Y79" s="156"/>
      <c r="Z79" s="175"/>
      <c r="AA79" s="176"/>
      <c r="AB79" s="175"/>
      <c r="AC79" s="176"/>
      <c r="AD79" s="175"/>
      <c r="AE79" s="176"/>
      <c r="AF79" s="175"/>
      <c r="AG79" s="176"/>
      <c r="AH79" s="222">
        <v>2</v>
      </c>
      <c r="AI79" s="222">
        <v>0</v>
      </c>
      <c r="AJ79" s="9"/>
      <c r="AK79" s="96"/>
    </row>
    <row r="80" spans="2:39" ht="25.35" customHeight="1">
      <c r="B80" s="552"/>
      <c r="C80" s="217" t="s">
        <v>167</v>
      </c>
      <c r="D80" s="249"/>
      <c r="E80" s="249"/>
      <c r="F80" s="103"/>
      <c r="G80" s="120"/>
      <c r="H80" s="119"/>
      <c r="I80" s="120"/>
      <c r="J80" s="119"/>
      <c r="K80" s="120"/>
      <c r="L80" s="119"/>
      <c r="M80" s="120"/>
      <c r="N80" s="149"/>
      <c r="O80" s="150"/>
      <c r="P80" s="149"/>
      <c r="Q80" s="150"/>
      <c r="R80" s="149"/>
      <c r="S80" s="150"/>
      <c r="T80" s="220"/>
      <c r="U80" s="221">
        <v>2</v>
      </c>
      <c r="V80" s="220"/>
      <c r="W80" s="221"/>
      <c r="X80" s="175"/>
      <c r="Y80" s="176"/>
      <c r="Z80" s="175"/>
      <c r="AA80" s="176"/>
      <c r="AB80" s="175"/>
      <c r="AC80" s="176"/>
      <c r="AD80" s="175"/>
      <c r="AE80" s="176"/>
      <c r="AF80" s="175"/>
      <c r="AG80" s="176"/>
      <c r="AH80" s="222">
        <v>0</v>
      </c>
      <c r="AI80" s="222">
        <v>2</v>
      </c>
      <c r="AJ80" s="9"/>
      <c r="AK80" s="96"/>
    </row>
    <row r="81" spans="2:39" s="202" customFormat="1" ht="25.35" customHeight="1" thickBot="1">
      <c r="B81" s="552"/>
      <c r="C81" s="217" t="s">
        <v>166</v>
      </c>
      <c r="D81" s="249"/>
      <c r="E81" s="249"/>
      <c r="F81" s="103"/>
      <c r="G81" s="120"/>
      <c r="H81" s="119"/>
      <c r="I81" s="120"/>
      <c r="J81" s="119"/>
      <c r="K81" s="120"/>
      <c r="L81" s="119"/>
      <c r="M81" s="120"/>
      <c r="N81" s="149"/>
      <c r="O81" s="150"/>
      <c r="P81" s="149"/>
      <c r="Q81" s="150"/>
      <c r="R81" s="149"/>
      <c r="S81" s="150"/>
      <c r="T81" s="220"/>
      <c r="U81" s="221">
        <v>2</v>
      </c>
      <c r="V81" s="220"/>
      <c r="W81" s="221"/>
      <c r="X81" s="175"/>
      <c r="Y81" s="176"/>
      <c r="Z81" s="175"/>
      <c r="AA81" s="176"/>
      <c r="AB81" s="175"/>
      <c r="AC81" s="176"/>
      <c r="AD81" s="175"/>
      <c r="AE81" s="176"/>
      <c r="AF81" s="175"/>
      <c r="AG81" s="176"/>
      <c r="AH81" s="222">
        <v>0</v>
      </c>
      <c r="AI81" s="222">
        <v>2</v>
      </c>
      <c r="AJ81" s="203"/>
      <c r="AK81" s="204"/>
      <c r="AM81" s="225"/>
    </row>
    <row r="82" spans="2:39" ht="25.35" customHeight="1" thickTop="1">
      <c r="B82" s="550" t="s">
        <v>22</v>
      </c>
      <c r="C82" s="59" t="s">
        <v>56</v>
      </c>
      <c r="D82" s="101">
        <v>1</v>
      </c>
      <c r="E82" s="102">
        <v>1</v>
      </c>
      <c r="F82" s="101">
        <v>1</v>
      </c>
      <c r="G82" s="102">
        <v>1</v>
      </c>
      <c r="H82" s="101">
        <v>1</v>
      </c>
      <c r="I82" s="102">
        <v>1</v>
      </c>
      <c r="J82" s="101">
        <v>1</v>
      </c>
      <c r="K82" s="102">
        <v>1</v>
      </c>
      <c r="L82" s="101">
        <v>1</v>
      </c>
      <c r="M82" s="102">
        <v>1</v>
      </c>
      <c r="N82" s="128"/>
      <c r="O82" s="139"/>
      <c r="P82" s="128"/>
      <c r="Q82" s="139"/>
      <c r="R82" s="128"/>
      <c r="S82" s="139"/>
      <c r="T82" s="128"/>
      <c r="U82" s="139"/>
      <c r="V82" s="128"/>
      <c r="W82" s="139"/>
      <c r="X82" s="153"/>
      <c r="Y82" s="154"/>
      <c r="Z82" s="153"/>
      <c r="AA82" s="154"/>
      <c r="AB82" s="153"/>
      <c r="AC82" s="154"/>
      <c r="AD82" s="153"/>
      <c r="AE82" s="154"/>
      <c r="AF82" s="153"/>
      <c r="AG82" s="154"/>
      <c r="AH82" s="75">
        <f>F82*2+H82*2+J82*2+L82*2+P82*3+R82*2+T82*2+V82*2+Z82*3+AB82*2+AD82*2+AF82*2+D82</f>
        <v>9</v>
      </c>
      <c r="AI82" s="75">
        <f>G82*2+I82*2+K82*2+M82*2+Q82*3+S82*2+U82*2+W82*2+AA82*3+AC82*2+AE82*2+AG82*2+E82</f>
        <v>9</v>
      </c>
      <c r="AJ82" s="5">
        <f>SUM(AH82:AH102)</f>
        <v>109</v>
      </c>
      <c r="AK82" s="5">
        <f>SUM(AI82:AI102)</f>
        <v>103</v>
      </c>
    </row>
    <row r="83" spans="2:39" ht="25.35" customHeight="1">
      <c r="B83" s="551"/>
      <c r="C83" s="55" t="s">
        <v>57</v>
      </c>
      <c r="D83" s="231"/>
      <c r="E83" s="232"/>
      <c r="F83" s="115">
        <v>2</v>
      </c>
      <c r="G83" s="116">
        <v>2</v>
      </c>
      <c r="H83" s="115">
        <v>2</v>
      </c>
      <c r="I83" s="116">
        <v>2</v>
      </c>
      <c r="J83" s="115">
        <v>2</v>
      </c>
      <c r="K83" s="116">
        <v>2</v>
      </c>
      <c r="L83" s="115">
        <v>2</v>
      </c>
      <c r="M83" s="116">
        <v>2</v>
      </c>
      <c r="N83" s="129"/>
      <c r="O83" s="130"/>
      <c r="P83" s="129"/>
      <c r="Q83" s="130"/>
      <c r="R83" s="129"/>
      <c r="S83" s="130"/>
      <c r="T83" s="129"/>
      <c r="U83" s="130"/>
      <c r="V83" s="129"/>
      <c r="W83" s="130"/>
      <c r="X83" s="155"/>
      <c r="Y83" s="156"/>
      <c r="Z83" s="167"/>
      <c r="AA83" s="168"/>
      <c r="AB83" s="167"/>
      <c r="AC83" s="168"/>
      <c r="AD83" s="167"/>
      <c r="AE83" s="168"/>
      <c r="AF83" s="167"/>
      <c r="AG83" s="168"/>
      <c r="AH83" s="79">
        <f>F83*2+H83*2+J83*2+L83*2+P83*3+R83*2+T83*2+V83*2+Z83*3+AB83*2+AD83*2+AF83*2</f>
        <v>16</v>
      </c>
      <c r="AI83" s="79">
        <f>G83*2+I83*2+K83*2+M83*2+Q83*3+S83*2+U83*2+W83*2+AA83*3+AC83*2+AE83*2+AG83*2</f>
        <v>16</v>
      </c>
      <c r="AJ83" s="8"/>
      <c r="AK83" s="8"/>
      <c r="AM83" s="224"/>
    </row>
    <row r="84" spans="2:39" ht="25.35" customHeight="1">
      <c r="B84" s="551"/>
      <c r="C84" s="55" t="s">
        <v>72</v>
      </c>
      <c r="D84" s="231"/>
      <c r="E84" s="232"/>
      <c r="F84" s="103"/>
      <c r="G84" s="104"/>
      <c r="H84" s="103"/>
      <c r="I84" s="104"/>
      <c r="J84" s="103"/>
      <c r="K84" s="104"/>
      <c r="L84" s="103"/>
      <c r="M84" s="104"/>
      <c r="N84" s="129"/>
      <c r="O84" s="130"/>
      <c r="P84" s="129">
        <v>2</v>
      </c>
      <c r="Q84" s="130">
        <v>2</v>
      </c>
      <c r="R84" s="129">
        <v>2</v>
      </c>
      <c r="S84" s="130">
        <v>2</v>
      </c>
      <c r="T84" s="129">
        <v>2</v>
      </c>
      <c r="U84" s="130">
        <v>2</v>
      </c>
      <c r="V84" s="129">
        <v>2</v>
      </c>
      <c r="W84" s="130">
        <v>2</v>
      </c>
      <c r="X84" s="155"/>
      <c r="Y84" s="156"/>
      <c r="Z84" s="155"/>
      <c r="AA84" s="156"/>
      <c r="AB84" s="155"/>
      <c r="AC84" s="156"/>
      <c r="AD84" s="155"/>
      <c r="AE84" s="156"/>
      <c r="AF84" s="155"/>
      <c r="AG84" s="156"/>
      <c r="AH84" s="79">
        <f>F84*3+H84*2+J84*2+L84*2+P84*2+R84*2+T84*2+V84*2+Z84*3+AB84*2+AD84*2+AF84*2</f>
        <v>16</v>
      </c>
      <c r="AI84" s="79">
        <f>G84*3+I84*2+K84*2+M84*2+Q84*2+S84*2+U84*2+W84*2+AA84*3+AC84*2+AE84*2+AG84*2</f>
        <v>16</v>
      </c>
      <c r="AJ84" s="8"/>
      <c r="AK84" s="8"/>
      <c r="AM84" s="224"/>
    </row>
    <row r="85" spans="2:39" ht="25.35" customHeight="1">
      <c r="B85" s="551"/>
      <c r="C85" s="55" t="s">
        <v>156</v>
      </c>
      <c r="D85" s="231"/>
      <c r="E85" s="232"/>
      <c r="F85" s="119"/>
      <c r="G85" s="120"/>
      <c r="H85" s="103"/>
      <c r="I85" s="104"/>
      <c r="J85" s="103"/>
      <c r="K85" s="104"/>
      <c r="L85" s="103"/>
      <c r="M85" s="104"/>
      <c r="N85" s="129"/>
      <c r="O85" s="130"/>
      <c r="P85" s="129"/>
      <c r="Q85" s="130"/>
      <c r="R85" s="129"/>
      <c r="S85" s="130"/>
      <c r="T85" s="129"/>
      <c r="U85" s="130"/>
      <c r="V85" s="129"/>
      <c r="W85" s="130"/>
      <c r="X85" s="155"/>
      <c r="Y85" s="156"/>
      <c r="Z85" s="155">
        <v>4</v>
      </c>
      <c r="AA85" s="156">
        <v>4</v>
      </c>
      <c r="AB85" s="155">
        <v>3</v>
      </c>
      <c r="AC85" s="156">
        <v>3</v>
      </c>
      <c r="AD85" s="155">
        <v>3</v>
      </c>
      <c r="AE85" s="156">
        <v>3</v>
      </c>
      <c r="AF85" s="155">
        <v>3</v>
      </c>
      <c r="AG85" s="156">
        <v>3</v>
      </c>
      <c r="AH85" s="79">
        <f>Z85*2+AB85*2+AD85*2+AF85*2</f>
        <v>26</v>
      </c>
      <c r="AI85" s="79">
        <f>AA85*2+AC85*2+AE85*2+AG85*2</f>
        <v>26</v>
      </c>
      <c r="AJ85" s="8"/>
      <c r="AK85" s="8"/>
      <c r="AM85" s="224"/>
    </row>
    <row r="86" spans="2:39" ht="25.35" customHeight="1">
      <c r="B86" s="551"/>
      <c r="C86" s="55" t="s">
        <v>66</v>
      </c>
      <c r="D86" s="231"/>
      <c r="E86" s="232"/>
      <c r="F86" s="103">
        <v>2</v>
      </c>
      <c r="G86" s="104">
        <v>2</v>
      </c>
      <c r="H86" s="103"/>
      <c r="I86" s="104"/>
      <c r="J86" s="103"/>
      <c r="K86" s="104"/>
      <c r="L86" s="103"/>
      <c r="M86" s="104"/>
      <c r="N86" s="129"/>
      <c r="O86" s="130"/>
      <c r="P86" s="129"/>
      <c r="Q86" s="130"/>
      <c r="R86" s="129"/>
      <c r="S86" s="130"/>
      <c r="T86" s="129"/>
      <c r="U86" s="130"/>
      <c r="V86" s="129"/>
      <c r="W86" s="130"/>
      <c r="X86" s="155"/>
      <c r="Y86" s="156"/>
      <c r="Z86" s="155"/>
      <c r="AA86" s="156"/>
      <c r="AB86" s="155"/>
      <c r="AC86" s="156"/>
      <c r="AD86" s="155"/>
      <c r="AE86" s="156"/>
      <c r="AF86" s="155"/>
      <c r="AG86" s="156"/>
      <c r="AH86" s="79">
        <f>F86*2+H86*2+J86*2+L86*2+P86*3+R86*2+T86*2+V86*2+Z86*3+AB86*2+AD86*2+AF86*2</f>
        <v>4</v>
      </c>
      <c r="AI86" s="79">
        <f>G86*2+I86*2+K86*2+M86*2+Q86*3+S86*2+U86*2+W86*2+AA86*3+AC86*2+AE86*2+AG86*2</f>
        <v>4</v>
      </c>
      <c r="AJ86" s="8"/>
      <c r="AK86" s="8"/>
    </row>
    <row r="87" spans="2:39" ht="25.35" customHeight="1">
      <c r="B87" s="551"/>
      <c r="C87" s="55" t="s">
        <v>117</v>
      </c>
      <c r="D87" s="231"/>
      <c r="E87" s="232"/>
      <c r="F87" s="103"/>
      <c r="G87" s="104"/>
      <c r="H87" s="103"/>
      <c r="I87" s="104"/>
      <c r="J87" s="103"/>
      <c r="K87" s="104"/>
      <c r="L87" s="103"/>
      <c r="M87" s="104"/>
      <c r="N87" s="129"/>
      <c r="O87" s="130"/>
      <c r="P87" s="129">
        <v>3</v>
      </c>
      <c r="Q87" s="130">
        <v>3</v>
      </c>
      <c r="R87" s="129"/>
      <c r="S87" s="130"/>
      <c r="T87" s="129"/>
      <c r="U87" s="130"/>
      <c r="V87" s="129"/>
      <c r="W87" s="130"/>
      <c r="X87" s="155"/>
      <c r="Y87" s="156"/>
      <c r="Z87" s="155"/>
      <c r="AA87" s="156"/>
      <c r="AB87" s="155"/>
      <c r="AC87" s="156"/>
      <c r="AD87" s="155"/>
      <c r="AE87" s="156"/>
      <c r="AF87" s="155"/>
      <c r="AG87" s="156"/>
      <c r="AH87" s="79">
        <f>P87*2</f>
        <v>6</v>
      </c>
      <c r="AI87" s="79">
        <f>Q87*2</f>
        <v>6</v>
      </c>
      <c r="AJ87" s="8"/>
      <c r="AK87" s="8"/>
    </row>
    <row r="88" spans="2:39" ht="25.35" customHeight="1">
      <c r="B88" s="551"/>
      <c r="C88" s="43" t="s">
        <v>95</v>
      </c>
      <c r="D88" s="229"/>
      <c r="E88" s="230"/>
      <c r="F88" s="103"/>
      <c r="G88" s="104"/>
      <c r="H88" s="103"/>
      <c r="I88" s="104"/>
      <c r="J88" s="103"/>
      <c r="K88" s="104"/>
      <c r="L88" s="103"/>
      <c r="M88" s="104"/>
      <c r="N88" s="129"/>
      <c r="O88" s="130"/>
      <c r="P88" s="129"/>
      <c r="Q88" s="130"/>
      <c r="R88" s="129"/>
      <c r="S88" s="130"/>
      <c r="T88" s="129"/>
      <c r="U88" s="130"/>
      <c r="V88" s="129"/>
      <c r="W88" s="130"/>
      <c r="X88" s="175"/>
      <c r="Y88" s="176"/>
      <c r="Z88" s="155">
        <v>2</v>
      </c>
      <c r="AA88" s="156">
        <v>2</v>
      </c>
      <c r="AB88" s="155"/>
      <c r="AC88" s="156"/>
      <c r="AD88" s="155"/>
      <c r="AE88" s="156"/>
      <c r="AF88" s="155"/>
      <c r="AG88" s="156"/>
      <c r="AH88" s="79">
        <f>F88*2+H88*2+J88*2+L88*2+P88*3+R88*2+T88*2+V88*2+Z88*2+AB88*2+AD88*2+AF88*2</f>
        <v>4</v>
      </c>
      <c r="AI88" s="79">
        <f>G88*3+I88*2+K88*2+M88*2+Q88*3+S88*2+U88*2+W88*2+AA88*2+AC88*2+AE88*2+AG88*2</f>
        <v>4</v>
      </c>
      <c r="AJ88" s="8"/>
      <c r="AK88" s="8"/>
    </row>
    <row r="89" spans="2:39" ht="25.35" customHeight="1">
      <c r="B89" s="551"/>
      <c r="C89" s="43" t="s">
        <v>185</v>
      </c>
      <c r="D89" s="229"/>
      <c r="E89" s="230"/>
      <c r="F89" s="103"/>
      <c r="G89" s="104"/>
      <c r="H89" s="103"/>
      <c r="I89" s="104"/>
      <c r="J89" s="103"/>
      <c r="K89" s="104"/>
      <c r="L89" s="103"/>
      <c r="M89" s="104"/>
      <c r="N89" s="129"/>
      <c r="O89" s="130"/>
      <c r="P89" s="129"/>
      <c r="Q89" s="130">
        <v>2</v>
      </c>
      <c r="R89" s="129"/>
      <c r="S89" s="130"/>
      <c r="T89" s="129"/>
      <c r="U89" s="130"/>
      <c r="V89" s="129"/>
      <c r="W89" s="130"/>
      <c r="X89" s="175"/>
      <c r="Y89" s="176"/>
      <c r="Z89" s="155">
        <v>2</v>
      </c>
      <c r="AA89" s="156"/>
      <c r="AB89" s="155"/>
      <c r="AC89" s="156"/>
      <c r="AD89" s="155"/>
      <c r="AE89" s="156"/>
      <c r="AF89" s="155"/>
      <c r="AG89" s="156"/>
      <c r="AH89" s="79">
        <f>F89*3+H89*2+J89*2+L89*2+P89*3+R89*2+T89*2+V89*2+Z89*2+AB89*2+AD89*2+AF89*2</f>
        <v>4</v>
      </c>
      <c r="AI89" s="79">
        <f>G89*3+I89*2+K89*2+M89*2+Q89*2+S89*2+U89*2+W89*2+AA89*3+AC89*2+AE89*2+AG89*2</f>
        <v>4</v>
      </c>
      <c r="AJ89" s="8"/>
      <c r="AK89" s="8"/>
    </row>
    <row r="90" spans="2:39" ht="25.35" customHeight="1">
      <c r="B90" s="551"/>
      <c r="C90" s="55" t="s">
        <v>105</v>
      </c>
      <c r="D90" s="231"/>
      <c r="E90" s="232"/>
      <c r="F90" s="115">
        <v>1</v>
      </c>
      <c r="G90" s="116">
        <v>1</v>
      </c>
      <c r="H90" s="115"/>
      <c r="I90" s="116"/>
      <c r="J90" s="115"/>
      <c r="K90" s="116"/>
      <c r="L90" s="115"/>
      <c r="M90" s="116"/>
      <c r="N90" s="140"/>
      <c r="O90" s="141"/>
      <c r="P90" s="140"/>
      <c r="Q90" s="141"/>
      <c r="R90" s="140"/>
      <c r="S90" s="141"/>
      <c r="T90" s="140"/>
      <c r="U90" s="141"/>
      <c r="V90" s="140"/>
      <c r="W90" s="141"/>
      <c r="X90" s="155"/>
      <c r="Y90" s="168"/>
      <c r="Z90" s="167"/>
      <c r="AA90" s="168"/>
      <c r="AB90" s="167"/>
      <c r="AC90" s="168"/>
      <c r="AD90" s="155"/>
      <c r="AE90" s="168"/>
      <c r="AF90" s="167"/>
      <c r="AG90" s="168"/>
      <c r="AH90" s="83">
        <f>F90*2</f>
        <v>2</v>
      </c>
      <c r="AI90" s="83">
        <f>G90*2</f>
        <v>2</v>
      </c>
      <c r="AJ90" s="8"/>
      <c r="AK90" s="8"/>
    </row>
    <row r="91" spans="2:39" ht="25.35" customHeight="1">
      <c r="B91" s="552"/>
      <c r="C91" s="55" t="s">
        <v>63</v>
      </c>
      <c r="D91" s="231"/>
      <c r="E91" s="232"/>
      <c r="F91" s="218">
        <v>2</v>
      </c>
      <c r="G91" s="219">
        <v>2</v>
      </c>
      <c r="H91" s="218"/>
      <c r="I91" s="104"/>
      <c r="J91" s="103"/>
      <c r="K91" s="104"/>
      <c r="L91" s="103"/>
      <c r="M91" s="104"/>
      <c r="N91" s="129"/>
      <c r="O91" s="130"/>
      <c r="P91" s="129"/>
      <c r="Q91" s="130"/>
      <c r="R91" s="129"/>
      <c r="S91" s="130"/>
      <c r="T91" s="129"/>
      <c r="U91" s="130"/>
      <c r="V91" s="129"/>
      <c r="W91" s="130"/>
      <c r="X91" s="155"/>
      <c r="Y91" s="156"/>
      <c r="Z91" s="155"/>
      <c r="AA91" s="156"/>
      <c r="AB91" s="155"/>
      <c r="AC91" s="156"/>
      <c r="AD91" s="155"/>
      <c r="AE91" s="156"/>
      <c r="AF91" s="155"/>
      <c r="AG91" s="156"/>
      <c r="AH91" s="79">
        <f>F91*2+H91*2+J91*2+L91*2+P91*3+R91*2+T91*2+V91*2+Z91*3+AB91*2+AD91*2+AF91*2</f>
        <v>4</v>
      </c>
      <c r="AI91" s="79">
        <f>G91*2+I91*2+K91*2+M91*2+Q91*3+S91*2+U91*2+W91*2+AA91*3+AC91*2+AE91*2+AG91*2</f>
        <v>4</v>
      </c>
      <c r="AJ91" s="96"/>
      <c r="AK91" s="96"/>
    </row>
    <row r="92" spans="2:39" ht="25.35" customHeight="1">
      <c r="B92" s="552"/>
      <c r="C92" s="55" t="s">
        <v>91</v>
      </c>
      <c r="D92" s="231"/>
      <c r="E92" s="232"/>
      <c r="F92" s="218"/>
      <c r="G92" s="219"/>
      <c r="H92" s="218"/>
      <c r="I92" s="104"/>
      <c r="J92" s="103"/>
      <c r="K92" s="104"/>
      <c r="L92" s="103">
        <v>2</v>
      </c>
      <c r="M92" s="104">
        <v>2</v>
      </c>
      <c r="N92" s="129"/>
      <c r="O92" s="130"/>
      <c r="P92" s="129"/>
      <c r="Q92" s="130"/>
      <c r="R92" s="129"/>
      <c r="S92" s="130"/>
      <c r="T92" s="129"/>
      <c r="U92" s="130"/>
      <c r="V92" s="129"/>
      <c r="W92" s="130"/>
      <c r="X92" s="155"/>
      <c r="Y92" s="156"/>
      <c r="Z92" s="155"/>
      <c r="AA92" s="156"/>
      <c r="AB92" s="155"/>
      <c r="AC92" s="156"/>
      <c r="AD92" s="155"/>
      <c r="AE92" s="156"/>
      <c r="AF92" s="155"/>
      <c r="AG92" s="156"/>
      <c r="AH92" s="79">
        <f>L92*2</f>
        <v>4</v>
      </c>
      <c r="AI92" s="79">
        <f>M92*2</f>
        <v>4</v>
      </c>
      <c r="AJ92" s="96"/>
      <c r="AK92" s="96"/>
    </row>
    <row r="93" spans="2:39" ht="25.35" customHeight="1">
      <c r="B93" s="552"/>
      <c r="C93" s="43" t="s">
        <v>96</v>
      </c>
      <c r="D93" s="229"/>
      <c r="E93" s="230"/>
      <c r="F93" s="103"/>
      <c r="G93" s="104"/>
      <c r="H93" s="103"/>
      <c r="I93" s="104"/>
      <c r="J93" s="103"/>
      <c r="K93" s="104"/>
      <c r="L93" s="103"/>
      <c r="M93" s="104"/>
      <c r="N93" s="129"/>
      <c r="O93" s="130"/>
      <c r="P93" s="129">
        <v>1</v>
      </c>
      <c r="Q93" s="130">
        <v>1</v>
      </c>
      <c r="R93" s="129"/>
      <c r="S93" s="130"/>
      <c r="T93" s="129"/>
      <c r="U93" s="130"/>
      <c r="V93" s="129"/>
      <c r="W93" s="130"/>
      <c r="X93" s="155"/>
      <c r="Y93" s="156"/>
      <c r="Z93" s="155"/>
      <c r="AA93" s="156"/>
      <c r="AB93" s="155"/>
      <c r="AC93" s="156"/>
      <c r="AD93" s="155"/>
      <c r="AE93" s="156"/>
      <c r="AF93" s="155"/>
      <c r="AG93" s="156"/>
      <c r="AH93" s="79">
        <f>P93*2</f>
        <v>2</v>
      </c>
      <c r="AI93" s="79">
        <f>AA93*3+Q93*2</f>
        <v>2</v>
      </c>
      <c r="AJ93" s="96"/>
      <c r="AK93" s="96"/>
    </row>
    <row r="94" spans="2:39" ht="25.35" customHeight="1">
      <c r="B94" s="552"/>
      <c r="C94" s="217" t="s">
        <v>213</v>
      </c>
      <c r="D94" s="229"/>
      <c r="E94" s="229"/>
      <c r="F94" s="115"/>
      <c r="G94" s="116"/>
      <c r="H94" s="115"/>
      <c r="I94" s="116"/>
      <c r="J94" s="115"/>
      <c r="K94" s="116"/>
      <c r="L94" s="115"/>
      <c r="M94" s="116"/>
      <c r="N94" s="129"/>
      <c r="O94" s="141"/>
      <c r="P94" s="129">
        <v>2</v>
      </c>
      <c r="Q94" s="141"/>
      <c r="R94" s="140"/>
      <c r="S94" s="141"/>
      <c r="T94" s="140"/>
      <c r="U94" s="141"/>
      <c r="V94" s="140"/>
      <c r="W94" s="141"/>
      <c r="X94" s="155"/>
      <c r="Y94" s="156"/>
      <c r="Z94" s="155"/>
      <c r="AA94" s="156"/>
      <c r="AB94" s="155"/>
      <c r="AC94" s="156"/>
      <c r="AD94" s="155"/>
      <c r="AE94" s="156"/>
      <c r="AF94" s="155"/>
      <c r="AG94" s="156"/>
      <c r="AH94" s="79">
        <v>2</v>
      </c>
      <c r="AI94" s="79">
        <f>G94*3+I94*2+K94*2+M94*2+Q94*3+S94*2+U94*2+W94*2+AA94*3+AC94*2+AE94*2+AG94*2</f>
        <v>0</v>
      </c>
      <c r="AJ94" s="96"/>
      <c r="AK94" s="96"/>
    </row>
    <row r="95" spans="2:39" ht="25.35" customHeight="1">
      <c r="B95" s="552"/>
      <c r="C95" s="217" t="s">
        <v>212</v>
      </c>
      <c r="D95" s="229"/>
      <c r="E95" s="229"/>
      <c r="F95" s="115"/>
      <c r="G95" s="116"/>
      <c r="H95" s="115"/>
      <c r="I95" s="116"/>
      <c r="J95" s="115"/>
      <c r="K95" s="116"/>
      <c r="L95" s="115"/>
      <c r="M95" s="116"/>
      <c r="N95" s="129"/>
      <c r="O95" s="141"/>
      <c r="P95" s="129">
        <v>2</v>
      </c>
      <c r="Q95" s="141"/>
      <c r="R95" s="140"/>
      <c r="S95" s="141"/>
      <c r="T95" s="140"/>
      <c r="U95" s="141"/>
      <c r="V95" s="140"/>
      <c r="W95" s="141"/>
      <c r="X95" s="155"/>
      <c r="Y95" s="156"/>
      <c r="Z95" s="155"/>
      <c r="AA95" s="156"/>
      <c r="AB95" s="155"/>
      <c r="AC95" s="156"/>
      <c r="AD95" s="155"/>
      <c r="AE95" s="156"/>
      <c r="AF95" s="155"/>
      <c r="AG95" s="156"/>
      <c r="AH95" s="79">
        <v>2</v>
      </c>
      <c r="AI95" s="79">
        <v>0</v>
      </c>
      <c r="AJ95" s="96"/>
      <c r="AK95" s="96"/>
    </row>
    <row r="96" spans="2:39" ht="25.35" customHeight="1">
      <c r="B96" s="552"/>
      <c r="C96" s="217" t="s">
        <v>214</v>
      </c>
      <c r="D96" s="229"/>
      <c r="E96" s="229"/>
      <c r="F96" s="109"/>
      <c r="G96" s="110"/>
      <c r="H96" s="109"/>
      <c r="I96" s="110"/>
      <c r="J96" s="109"/>
      <c r="K96" s="110"/>
      <c r="L96" s="109"/>
      <c r="M96" s="110"/>
      <c r="N96" s="135"/>
      <c r="O96" s="144"/>
      <c r="P96" s="135">
        <v>2</v>
      </c>
      <c r="Q96" s="144"/>
      <c r="R96" s="135"/>
      <c r="S96" s="136"/>
      <c r="T96" s="135"/>
      <c r="U96" s="136"/>
      <c r="V96" s="135"/>
      <c r="W96" s="136"/>
      <c r="X96" s="161"/>
      <c r="Y96" s="162"/>
      <c r="Z96" s="161"/>
      <c r="AA96" s="162"/>
      <c r="AB96" s="161"/>
      <c r="AC96" s="162"/>
      <c r="AD96" s="161"/>
      <c r="AE96" s="162"/>
      <c r="AF96" s="161"/>
      <c r="AG96" s="162"/>
      <c r="AH96" s="79">
        <v>2</v>
      </c>
      <c r="AI96" s="79">
        <v>0</v>
      </c>
      <c r="AJ96" s="96"/>
      <c r="AK96" s="96"/>
    </row>
    <row r="97" spans="2:37" ht="25.35" customHeight="1">
      <c r="B97" s="552"/>
      <c r="C97" s="217" t="s">
        <v>215</v>
      </c>
      <c r="D97" s="229"/>
      <c r="E97" s="229"/>
      <c r="F97" s="109"/>
      <c r="G97" s="110"/>
      <c r="H97" s="109"/>
      <c r="I97" s="110"/>
      <c r="J97" s="109"/>
      <c r="K97" s="110"/>
      <c r="L97" s="109"/>
      <c r="M97" s="110"/>
      <c r="N97" s="135"/>
      <c r="O97" s="130"/>
      <c r="P97" s="135"/>
      <c r="Q97" s="130">
        <v>2</v>
      </c>
      <c r="R97" s="135"/>
      <c r="S97" s="136"/>
      <c r="T97" s="135"/>
      <c r="U97" s="136"/>
      <c r="V97" s="135"/>
      <c r="W97" s="136"/>
      <c r="X97" s="161"/>
      <c r="Y97" s="162"/>
      <c r="Z97" s="161"/>
      <c r="AA97" s="162"/>
      <c r="AB97" s="161"/>
      <c r="AC97" s="162"/>
      <c r="AD97" s="161"/>
      <c r="AE97" s="162"/>
      <c r="AF97" s="161"/>
      <c r="AG97" s="162"/>
      <c r="AH97" s="79">
        <f>F97*3+H97*2+J97*2+L97*2+P97*3+R97*2+T97*2+V97*2+Z97*3+AB97*2+AD97*2+AF97*2</f>
        <v>0</v>
      </c>
      <c r="AI97" s="79">
        <v>2</v>
      </c>
      <c r="AJ97" s="96"/>
      <c r="AK97" s="96"/>
    </row>
    <row r="98" spans="2:37" ht="25.35" customHeight="1">
      <c r="B98" s="552"/>
      <c r="C98" s="217" t="s">
        <v>216</v>
      </c>
      <c r="D98" s="229"/>
      <c r="E98" s="229"/>
      <c r="F98" s="103"/>
      <c r="G98" s="104"/>
      <c r="H98" s="103"/>
      <c r="I98" s="104"/>
      <c r="J98" s="103"/>
      <c r="K98" s="104"/>
      <c r="L98" s="103"/>
      <c r="M98" s="104"/>
      <c r="N98" s="129"/>
      <c r="O98" s="130"/>
      <c r="P98" s="129"/>
      <c r="Q98" s="130">
        <v>2</v>
      </c>
      <c r="R98" s="129"/>
      <c r="S98" s="130"/>
      <c r="T98" s="129"/>
      <c r="U98" s="130"/>
      <c r="V98" s="129"/>
      <c r="W98" s="130"/>
      <c r="X98" s="155"/>
      <c r="Y98" s="156"/>
      <c r="Z98" s="155"/>
      <c r="AA98" s="156"/>
      <c r="AB98" s="155"/>
      <c r="AC98" s="156"/>
      <c r="AD98" s="155"/>
      <c r="AE98" s="156"/>
      <c r="AF98" s="155"/>
      <c r="AG98" s="156"/>
      <c r="AH98" s="79">
        <v>0</v>
      </c>
      <c r="AI98" s="79">
        <v>2</v>
      </c>
      <c r="AJ98" s="96"/>
      <c r="AK98" s="96"/>
    </row>
    <row r="99" spans="2:37" ht="25.35" customHeight="1">
      <c r="B99" s="552"/>
      <c r="C99" s="217" t="s">
        <v>217</v>
      </c>
      <c r="D99" s="229"/>
      <c r="E99" s="229"/>
      <c r="F99" s="103"/>
      <c r="G99" s="104"/>
      <c r="H99" s="103"/>
      <c r="I99" s="104"/>
      <c r="J99" s="103"/>
      <c r="K99" s="104"/>
      <c r="L99" s="103"/>
      <c r="M99" s="104"/>
      <c r="N99" s="129"/>
      <c r="O99" s="130"/>
      <c r="P99" s="129"/>
      <c r="Q99" s="130">
        <v>2</v>
      </c>
      <c r="R99" s="129"/>
      <c r="S99" s="130"/>
      <c r="T99" s="129"/>
      <c r="U99" s="130"/>
      <c r="V99" s="129"/>
      <c r="W99" s="130"/>
      <c r="X99" s="155"/>
      <c r="Y99" s="156"/>
      <c r="Z99" s="155"/>
      <c r="AA99" s="156"/>
      <c r="AB99" s="155"/>
      <c r="AC99" s="156"/>
      <c r="AD99" s="155"/>
      <c r="AE99" s="156"/>
      <c r="AF99" s="155"/>
      <c r="AG99" s="156"/>
      <c r="AH99" s="79">
        <v>0</v>
      </c>
      <c r="AI99" s="79">
        <v>2</v>
      </c>
      <c r="AJ99" s="96"/>
      <c r="AK99" s="96"/>
    </row>
    <row r="100" spans="2:37" ht="25.35" customHeight="1">
      <c r="B100" s="552"/>
      <c r="C100" s="217" t="s">
        <v>219</v>
      </c>
      <c r="D100" s="229"/>
      <c r="E100" s="229"/>
      <c r="F100" s="109"/>
      <c r="G100" s="110"/>
      <c r="H100" s="109"/>
      <c r="I100" s="110"/>
      <c r="J100" s="109"/>
      <c r="K100" s="110"/>
      <c r="L100" s="109"/>
      <c r="M100" s="110"/>
      <c r="N100" s="135"/>
      <c r="O100" s="144"/>
      <c r="P100" s="135">
        <v>2</v>
      </c>
      <c r="Q100" s="144"/>
      <c r="R100" s="135">
        <v>2</v>
      </c>
      <c r="S100" s="136"/>
      <c r="T100" s="135">
        <v>2</v>
      </c>
      <c r="U100" s="136"/>
      <c r="V100" s="135">
        <v>2</v>
      </c>
      <c r="W100" s="136"/>
      <c r="X100" s="161"/>
      <c r="Y100" s="162"/>
      <c r="Z100" s="161"/>
      <c r="AA100" s="162"/>
      <c r="AB100" s="161"/>
      <c r="AC100" s="162"/>
      <c r="AD100" s="161"/>
      <c r="AE100" s="162"/>
      <c r="AF100" s="161"/>
      <c r="AG100" s="162"/>
      <c r="AH100" s="79">
        <v>2</v>
      </c>
      <c r="AI100" s="79">
        <v>0</v>
      </c>
      <c r="AJ100" s="96"/>
      <c r="AK100" s="96"/>
    </row>
    <row r="101" spans="2:37" ht="25.35" customHeight="1">
      <c r="B101" s="552"/>
      <c r="C101" s="217" t="s">
        <v>220</v>
      </c>
      <c r="D101" s="229"/>
      <c r="E101" s="229"/>
      <c r="F101" s="109"/>
      <c r="G101" s="110"/>
      <c r="H101" s="109"/>
      <c r="I101" s="110"/>
      <c r="J101" s="109"/>
      <c r="K101" s="110"/>
      <c r="L101" s="109"/>
      <c r="M101" s="110"/>
      <c r="N101" s="135"/>
      <c r="O101" s="144"/>
      <c r="P101" s="135">
        <v>2</v>
      </c>
      <c r="Q101" s="144"/>
      <c r="R101" s="135">
        <v>2</v>
      </c>
      <c r="S101" s="136"/>
      <c r="T101" s="135">
        <v>2</v>
      </c>
      <c r="U101" s="136"/>
      <c r="V101" s="135">
        <v>2</v>
      </c>
      <c r="W101" s="136"/>
      <c r="X101" s="161"/>
      <c r="Y101" s="162"/>
      <c r="Z101" s="161"/>
      <c r="AA101" s="162"/>
      <c r="AB101" s="161"/>
      <c r="AC101" s="162"/>
      <c r="AD101" s="161"/>
      <c r="AE101" s="162"/>
      <c r="AF101" s="161"/>
      <c r="AG101" s="162"/>
      <c r="AH101" s="79">
        <v>2</v>
      </c>
      <c r="AI101" s="79">
        <v>0</v>
      </c>
      <c r="AJ101" s="96"/>
      <c r="AK101" s="96"/>
    </row>
    <row r="102" spans="2:37" ht="25.35" customHeight="1" thickBot="1">
      <c r="B102" s="552"/>
      <c r="C102" s="217" t="s">
        <v>218</v>
      </c>
      <c r="D102" s="229"/>
      <c r="E102" s="229"/>
      <c r="F102" s="103"/>
      <c r="G102" s="104"/>
      <c r="H102" s="103"/>
      <c r="I102" s="104"/>
      <c r="J102" s="103"/>
      <c r="K102" s="104"/>
      <c r="L102" s="103"/>
      <c r="M102" s="104"/>
      <c r="N102" s="129"/>
      <c r="O102" s="130"/>
      <c r="P102" s="129">
        <v>2</v>
      </c>
      <c r="Q102" s="130"/>
      <c r="R102" s="129">
        <v>2</v>
      </c>
      <c r="S102" s="130"/>
      <c r="T102" s="129">
        <v>2</v>
      </c>
      <c r="U102" s="130"/>
      <c r="V102" s="129">
        <v>2</v>
      </c>
      <c r="W102" s="130"/>
      <c r="X102" s="155"/>
      <c r="Y102" s="156"/>
      <c r="Z102" s="155"/>
      <c r="AA102" s="156"/>
      <c r="AB102" s="155"/>
      <c r="AC102" s="156"/>
      <c r="AD102" s="155"/>
      <c r="AE102" s="156"/>
      <c r="AF102" s="155"/>
      <c r="AG102" s="156"/>
      <c r="AH102" s="79">
        <v>2</v>
      </c>
      <c r="AI102" s="79">
        <v>0</v>
      </c>
      <c r="AJ102" s="96"/>
      <c r="AK102" s="96"/>
    </row>
    <row r="103" spans="2:37" ht="25.35" customHeight="1" thickTop="1">
      <c r="B103" s="553" t="s">
        <v>186</v>
      </c>
      <c r="C103" s="59" t="s">
        <v>190</v>
      </c>
      <c r="D103" s="251">
        <v>3</v>
      </c>
      <c r="E103" s="252">
        <v>3</v>
      </c>
      <c r="F103" s="59"/>
      <c r="G103" s="59"/>
      <c r="H103" s="59"/>
      <c r="I103" s="59"/>
      <c r="J103" s="59"/>
      <c r="K103" s="59"/>
      <c r="L103" s="59"/>
      <c r="M103" s="59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59">
        <v>3</v>
      </c>
      <c r="AI103" s="59">
        <v>3</v>
      </c>
      <c r="AJ103" s="5">
        <f>SUM(AH103:AH132)</f>
        <v>45</v>
      </c>
      <c r="AK103" s="5">
        <f>SUM(AI103:AI132)</f>
        <v>45</v>
      </c>
    </row>
    <row r="104" spans="2:37" ht="25.35" customHeight="1">
      <c r="B104" s="554"/>
      <c r="C104" s="61" t="s">
        <v>187</v>
      </c>
      <c r="D104" s="243">
        <v>3</v>
      </c>
      <c r="E104" s="244">
        <v>3</v>
      </c>
      <c r="F104" s="115"/>
      <c r="G104" s="116"/>
      <c r="H104" s="115"/>
      <c r="I104" s="116"/>
      <c r="J104" s="115"/>
      <c r="K104" s="116"/>
      <c r="L104" s="115"/>
      <c r="M104" s="116"/>
      <c r="N104" s="140"/>
      <c r="O104" s="141"/>
      <c r="P104" s="140"/>
      <c r="Q104" s="141"/>
      <c r="R104" s="140"/>
      <c r="S104" s="141"/>
      <c r="T104" s="140"/>
      <c r="U104" s="141"/>
      <c r="V104" s="140"/>
      <c r="W104" s="141"/>
      <c r="X104" s="167"/>
      <c r="Y104" s="168"/>
      <c r="Z104" s="167"/>
      <c r="AA104" s="168"/>
      <c r="AB104" s="167"/>
      <c r="AC104" s="168"/>
      <c r="AD104" s="167"/>
      <c r="AE104" s="168"/>
      <c r="AF104" s="167"/>
      <c r="AG104" s="168"/>
      <c r="AH104" s="83">
        <v>3</v>
      </c>
      <c r="AI104" s="83">
        <v>3</v>
      </c>
      <c r="AJ104" s="96"/>
      <c r="AK104" s="96"/>
    </row>
    <row r="105" spans="2:37" ht="25.35" customHeight="1">
      <c r="B105" s="554"/>
      <c r="C105" s="61" t="s">
        <v>338</v>
      </c>
      <c r="D105" s="243"/>
      <c r="E105" s="244"/>
      <c r="F105" s="115"/>
      <c r="G105" s="116"/>
      <c r="H105" s="115"/>
      <c r="I105" s="116"/>
      <c r="J105" s="115"/>
      <c r="K105" s="116"/>
      <c r="L105" s="115"/>
      <c r="M105" s="116"/>
      <c r="N105" s="140"/>
      <c r="O105" s="141"/>
      <c r="P105" s="140"/>
      <c r="Q105" s="141"/>
      <c r="R105" s="140"/>
      <c r="S105" s="141"/>
      <c r="T105" s="140"/>
      <c r="U105" s="141"/>
      <c r="V105" s="140"/>
      <c r="W105" s="141"/>
      <c r="X105" s="167"/>
      <c r="Y105" s="168"/>
      <c r="Z105" s="167"/>
      <c r="AA105" s="168"/>
      <c r="AB105" s="167"/>
      <c r="AC105" s="168"/>
      <c r="AD105" s="167"/>
      <c r="AE105" s="168"/>
      <c r="AF105" s="167"/>
      <c r="AG105" s="168"/>
      <c r="AH105" s="83">
        <v>0</v>
      </c>
      <c r="AI105" s="83">
        <v>0</v>
      </c>
      <c r="AJ105" s="96"/>
      <c r="AK105" s="96"/>
    </row>
    <row r="106" spans="2:37" ht="25.35" customHeight="1">
      <c r="B106" s="554"/>
      <c r="C106" s="61" t="s">
        <v>188</v>
      </c>
      <c r="D106" s="243">
        <v>2</v>
      </c>
      <c r="E106" s="244">
        <v>2</v>
      </c>
      <c r="F106" s="115"/>
      <c r="G106" s="116"/>
      <c r="H106" s="115"/>
      <c r="I106" s="116"/>
      <c r="J106" s="115"/>
      <c r="K106" s="116"/>
      <c r="L106" s="115"/>
      <c r="M106" s="116"/>
      <c r="N106" s="140"/>
      <c r="O106" s="141"/>
      <c r="P106" s="140"/>
      <c r="Q106" s="141"/>
      <c r="R106" s="140"/>
      <c r="S106" s="141"/>
      <c r="T106" s="140"/>
      <c r="U106" s="141"/>
      <c r="V106" s="140"/>
      <c r="W106" s="141"/>
      <c r="X106" s="167"/>
      <c r="Y106" s="168"/>
      <c r="Z106" s="167"/>
      <c r="AA106" s="168"/>
      <c r="AB106" s="167"/>
      <c r="AC106" s="168"/>
      <c r="AD106" s="167"/>
      <c r="AE106" s="168"/>
      <c r="AF106" s="167"/>
      <c r="AG106" s="168"/>
      <c r="AH106" s="83">
        <v>2</v>
      </c>
      <c r="AI106" s="83">
        <v>2</v>
      </c>
      <c r="AJ106" s="96"/>
      <c r="AK106" s="96"/>
    </row>
    <row r="107" spans="2:37" ht="25.35" customHeight="1">
      <c r="B107" s="554"/>
      <c r="C107" s="61" t="s">
        <v>189</v>
      </c>
      <c r="D107" s="243">
        <v>2</v>
      </c>
      <c r="E107" s="244">
        <v>2</v>
      </c>
      <c r="F107" s="115"/>
      <c r="G107" s="116"/>
      <c r="H107" s="115"/>
      <c r="I107" s="116"/>
      <c r="J107" s="115"/>
      <c r="K107" s="116"/>
      <c r="L107" s="115"/>
      <c r="M107" s="116"/>
      <c r="N107" s="140"/>
      <c r="O107" s="141"/>
      <c r="P107" s="140"/>
      <c r="Q107" s="141"/>
      <c r="R107" s="140"/>
      <c r="S107" s="141"/>
      <c r="T107" s="140"/>
      <c r="U107" s="141"/>
      <c r="V107" s="140"/>
      <c r="W107" s="141"/>
      <c r="X107" s="167"/>
      <c r="Y107" s="168"/>
      <c r="Z107" s="167"/>
      <c r="AA107" s="168"/>
      <c r="AB107" s="167"/>
      <c r="AC107" s="168"/>
      <c r="AD107" s="167"/>
      <c r="AE107" s="168"/>
      <c r="AF107" s="167"/>
      <c r="AG107" s="168"/>
      <c r="AH107" s="83">
        <v>2</v>
      </c>
      <c r="AI107" s="83">
        <v>2</v>
      </c>
      <c r="AJ107" s="96"/>
      <c r="AK107" s="96"/>
    </row>
    <row r="108" spans="2:37" ht="25.35" customHeight="1">
      <c r="B108" s="554"/>
      <c r="C108" s="61" t="s">
        <v>226</v>
      </c>
      <c r="D108" s="243"/>
      <c r="E108" s="244"/>
      <c r="F108" s="115"/>
      <c r="G108" s="116"/>
      <c r="H108" s="115"/>
      <c r="I108" s="116"/>
      <c r="J108" s="115"/>
      <c r="K108" s="116"/>
      <c r="L108" s="115"/>
      <c r="M108" s="116"/>
      <c r="N108" s="140"/>
      <c r="O108" s="141">
        <v>2</v>
      </c>
      <c r="P108" s="140"/>
      <c r="Q108" s="141"/>
      <c r="R108" s="140"/>
      <c r="S108" s="141"/>
      <c r="T108" s="140"/>
      <c r="U108" s="141"/>
      <c r="V108" s="140"/>
      <c r="W108" s="141"/>
      <c r="X108" s="167"/>
      <c r="Y108" s="168"/>
      <c r="Z108" s="167"/>
      <c r="AA108" s="168"/>
      <c r="AB108" s="167"/>
      <c r="AC108" s="168"/>
      <c r="AD108" s="167"/>
      <c r="AE108" s="168"/>
      <c r="AF108" s="167"/>
      <c r="AG108" s="168"/>
      <c r="AH108" s="83">
        <v>0</v>
      </c>
      <c r="AI108" s="83">
        <v>2</v>
      </c>
      <c r="AJ108" s="96"/>
      <c r="AK108" s="96"/>
    </row>
    <row r="109" spans="2:37" ht="25.35" customHeight="1">
      <c r="B109" s="255"/>
      <c r="C109" s="61" t="s">
        <v>227</v>
      </c>
      <c r="D109" s="243"/>
      <c r="E109" s="244"/>
      <c r="F109" s="115"/>
      <c r="G109" s="116"/>
      <c r="H109" s="115"/>
      <c r="I109" s="116"/>
      <c r="J109" s="115"/>
      <c r="K109" s="116"/>
      <c r="L109" s="115"/>
      <c r="M109" s="116"/>
      <c r="N109" s="140"/>
      <c r="O109" s="141">
        <v>2</v>
      </c>
      <c r="P109" s="140"/>
      <c r="Q109" s="141"/>
      <c r="R109" s="140"/>
      <c r="S109" s="141"/>
      <c r="T109" s="140"/>
      <c r="U109" s="141"/>
      <c r="V109" s="140"/>
      <c r="W109" s="141"/>
      <c r="X109" s="167"/>
      <c r="Y109" s="168"/>
      <c r="Z109" s="167"/>
      <c r="AA109" s="168"/>
      <c r="AB109" s="167"/>
      <c r="AC109" s="168"/>
      <c r="AD109" s="167"/>
      <c r="AE109" s="168"/>
      <c r="AF109" s="167"/>
      <c r="AG109" s="168"/>
      <c r="AH109" s="83">
        <v>0</v>
      </c>
      <c r="AI109" s="83">
        <v>2</v>
      </c>
      <c r="AJ109" s="96"/>
      <c r="AK109" s="96"/>
    </row>
    <row r="110" spans="2:37" ht="25.35" customHeight="1">
      <c r="B110" s="255"/>
      <c r="C110" s="61" t="s">
        <v>228</v>
      </c>
      <c r="D110" s="243"/>
      <c r="E110" s="244"/>
      <c r="F110" s="115"/>
      <c r="G110" s="116"/>
      <c r="H110" s="115"/>
      <c r="I110" s="116"/>
      <c r="J110" s="115"/>
      <c r="K110" s="116"/>
      <c r="L110" s="115"/>
      <c r="M110" s="116"/>
      <c r="N110" s="140">
        <v>2</v>
      </c>
      <c r="O110" s="141"/>
      <c r="P110" s="140"/>
      <c r="Q110" s="141"/>
      <c r="R110" s="140"/>
      <c r="S110" s="141"/>
      <c r="T110" s="140"/>
      <c r="U110" s="141"/>
      <c r="V110" s="140"/>
      <c r="W110" s="141"/>
      <c r="X110" s="167"/>
      <c r="Y110" s="168"/>
      <c r="Z110" s="167"/>
      <c r="AA110" s="168"/>
      <c r="AB110" s="167"/>
      <c r="AC110" s="168"/>
      <c r="AD110" s="167"/>
      <c r="AE110" s="168"/>
      <c r="AF110" s="167"/>
      <c r="AG110" s="168"/>
      <c r="AH110" s="83">
        <v>2</v>
      </c>
      <c r="AI110" s="83">
        <v>0</v>
      </c>
      <c r="AJ110" s="96"/>
      <c r="AK110" s="96"/>
    </row>
    <row r="111" spans="2:37" ht="25.35" customHeight="1">
      <c r="B111" s="255"/>
      <c r="C111" s="61" t="s">
        <v>229</v>
      </c>
      <c r="D111" s="243"/>
      <c r="E111" s="244"/>
      <c r="F111" s="115"/>
      <c r="G111" s="116"/>
      <c r="H111" s="115"/>
      <c r="I111" s="116"/>
      <c r="J111" s="115"/>
      <c r="K111" s="116"/>
      <c r="L111" s="115"/>
      <c r="M111" s="116"/>
      <c r="N111" s="140">
        <v>2</v>
      </c>
      <c r="O111" s="141"/>
      <c r="P111" s="140"/>
      <c r="Q111" s="141"/>
      <c r="R111" s="140"/>
      <c r="S111" s="141"/>
      <c r="T111" s="140"/>
      <c r="U111" s="141"/>
      <c r="V111" s="140"/>
      <c r="W111" s="141"/>
      <c r="X111" s="167"/>
      <c r="Y111" s="168"/>
      <c r="Z111" s="167"/>
      <c r="AA111" s="168"/>
      <c r="AB111" s="167"/>
      <c r="AC111" s="168"/>
      <c r="AD111" s="167"/>
      <c r="AE111" s="168"/>
      <c r="AF111" s="167"/>
      <c r="AG111" s="168"/>
      <c r="AH111" s="83">
        <v>2</v>
      </c>
      <c r="AI111" s="83">
        <v>0</v>
      </c>
      <c r="AJ111" s="96"/>
      <c r="AK111" s="96"/>
    </row>
    <row r="112" spans="2:37" ht="25.35" customHeight="1">
      <c r="B112" s="255"/>
      <c r="C112" s="61" t="s">
        <v>230</v>
      </c>
      <c r="D112" s="243"/>
      <c r="E112" s="244"/>
      <c r="F112" s="115"/>
      <c r="G112" s="116"/>
      <c r="H112" s="115"/>
      <c r="I112" s="116"/>
      <c r="J112" s="115"/>
      <c r="K112" s="116"/>
      <c r="L112" s="115"/>
      <c r="M112" s="116"/>
      <c r="N112" s="140">
        <v>2</v>
      </c>
      <c r="O112" s="141">
        <v>2</v>
      </c>
      <c r="P112" s="140"/>
      <c r="Q112" s="141"/>
      <c r="R112" s="140"/>
      <c r="S112" s="141"/>
      <c r="T112" s="140"/>
      <c r="U112" s="141"/>
      <c r="V112" s="140"/>
      <c r="W112" s="141"/>
      <c r="X112" s="167"/>
      <c r="Y112" s="168"/>
      <c r="Z112" s="167"/>
      <c r="AA112" s="168"/>
      <c r="AB112" s="167"/>
      <c r="AC112" s="168"/>
      <c r="AD112" s="167"/>
      <c r="AE112" s="168"/>
      <c r="AF112" s="167"/>
      <c r="AG112" s="168"/>
      <c r="AH112" s="83">
        <v>2</v>
      </c>
      <c r="AI112" s="83">
        <v>2</v>
      </c>
      <c r="AJ112" s="96"/>
      <c r="AK112" s="96"/>
    </row>
    <row r="113" spans="2:37" ht="25.35" customHeight="1">
      <c r="B113" s="255"/>
      <c r="C113" s="61" t="s">
        <v>231</v>
      </c>
      <c r="D113" s="243">
        <v>3</v>
      </c>
      <c r="E113" s="244">
        <v>3</v>
      </c>
      <c r="F113" s="115"/>
      <c r="G113" s="116"/>
      <c r="H113" s="115"/>
      <c r="I113" s="116"/>
      <c r="J113" s="115"/>
      <c r="K113" s="116"/>
      <c r="L113" s="115"/>
      <c r="M113" s="116"/>
      <c r="N113" s="140"/>
      <c r="O113" s="141"/>
      <c r="P113" s="140"/>
      <c r="Q113" s="141"/>
      <c r="R113" s="140"/>
      <c r="S113" s="141"/>
      <c r="T113" s="140"/>
      <c r="U113" s="141"/>
      <c r="V113" s="140"/>
      <c r="W113" s="141"/>
      <c r="X113" s="167"/>
      <c r="Y113" s="168"/>
      <c r="Z113" s="167"/>
      <c r="AA113" s="168"/>
      <c r="AB113" s="167"/>
      <c r="AC113" s="168"/>
      <c r="AD113" s="167"/>
      <c r="AE113" s="168"/>
      <c r="AF113" s="167"/>
      <c r="AG113" s="168"/>
      <c r="AH113" s="83">
        <v>3</v>
      </c>
      <c r="AI113" s="83">
        <v>3</v>
      </c>
      <c r="AJ113" s="96"/>
      <c r="AK113" s="96"/>
    </row>
    <row r="114" spans="2:37" ht="25.35" customHeight="1">
      <c r="B114" s="255"/>
      <c r="C114" s="61" t="s">
        <v>232</v>
      </c>
      <c r="D114" s="243"/>
      <c r="E114" s="244"/>
      <c r="F114" s="115"/>
      <c r="G114" s="116"/>
      <c r="H114" s="115"/>
      <c r="I114" s="116"/>
      <c r="J114" s="115"/>
      <c r="K114" s="116"/>
      <c r="L114" s="115"/>
      <c r="M114" s="116"/>
      <c r="N114" s="140">
        <v>3</v>
      </c>
      <c r="O114" s="141"/>
      <c r="P114" s="140"/>
      <c r="Q114" s="141"/>
      <c r="R114" s="140"/>
      <c r="S114" s="141"/>
      <c r="T114" s="140"/>
      <c r="U114" s="141"/>
      <c r="V114" s="140"/>
      <c r="W114" s="141"/>
      <c r="X114" s="167"/>
      <c r="Y114" s="168"/>
      <c r="Z114" s="167"/>
      <c r="AA114" s="168"/>
      <c r="AB114" s="167"/>
      <c r="AC114" s="168"/>
      <c r="AD114" s="167"/>
      <c r="AE114" s="168"/>
      <c r="AF114" s="167"/>
      <c r="AG114" s="168"/>
      <c r="AH114" s="83">
        <v>3</v>
      </c>
      <c r="AI114" s="83">
        <v>0</v>
      </c>
      <c r="AJ114" s="96"/>
      <c r="AK114" s="96"/>
    </row>
    <row r="115" spans="2:37" ht="25.35" customHeight="1">
      <c r="B115" s="255"/>
      <c r="C115" s="61" t="s">
        <v>233</v>
      </c>
      <c r="D115" s="243"/>
      <c r="E115" s="244"/>
      <c r="F115" s="115"/>
      <c r="G115" s="116"/>
      <c r="H115" s="115"/>
      <c r="I115" s="116"/>
      <c r="J115" s="115"/>
      <c r="K115" s="116"/>
      <c r="L115" s="115"/>
      <c r="M115" s="116"/>
      <c r="N115" s="140"/>
      <c r="O115" s="141">
        <v>3</v>
      </c>
      <c r="P115" s="140"/>
      <c r="Q115" s="141"/>
      <c r="R115" s="140"/>
      <c r="S115" s="141"/>
      <c r="T115" s="140"/>
      <c r="U115" s="141"/>
      <c r="V115" s="140"/>
      <c r="W115" s="141"/>
      <c r="X115" s="167"/>
      <c r="Y115" s="168"/>
      <c r="Z115" s="167"/>
      <c r="AA115" s="168"/>
      <c r="AB115" s="167"/>
      <c r="AC115" s="168"/>
      <c r="AD115" s="167"/>
      <c r="AE115" s="168"/>
      <c r="AF115" s="167"/>
      <c r="AG115" s="168"/>
      <c r="AH115" s="83">
        <v>0</v>
      </c>
      <c r="AI115" s="83">
        <v>3</v>
      </c>
      <c r="AJ115" s="96"/>
      <c r="AK115" s="96"/>
    </row>
    <row r="116" spans="2:37" ht="25.35" customHeight="1">
      <c r="B116" s="255"/>
      <c r="C116" s="61" t="s">
        <v>234</v>
      </c>
      <c r="D116" s="243"/>
      <c r="E116" s="244"/>
      <c r="F116" s="115"/>
      <c r="G116" s="116"/>
      <c r="H116" s="115"/>
      <c r="I116" s="116"/>
      <c r="J116" s="115"/>
      <c r="K116" s="116"/>
      <c r="L116" s="115"/>
      <c r="M116" s="116"/>
      <c r="N116" s="140">
        <v>3</v>
      </c>
      <c r="O116" s="141"/>
      <c r="P116" s="140"/>
      <c r="Q116" s="141"/>
      <c r="R116" s="140"/>
      <c r="S116" s="141"/>
      <c r="T116" s="140"/>
      <c r="U116" s="141"/>
      <c r="V116" s="140"/>
      <c r="W116" s="141"/>
      <c r="X116" s="167"/>
      <c r="Y116" s="168"/>
      <c r="Z116" s="167"/>
      <c r="AA116" s="168"/>
      <c r="AB116" s="167"/>
      <c r="AC116" s="168"/>
      <c r="AD116" s="167"/>
      <c r="AE116" s="168"/>
      <c r="AF116" s="167"/>
      <c r="AG116" s="168"/>
      <c r="AH116" s="83">
        <v>3</v>
      </c>
      <c r="AI116" s="83">
        <v>0</v>
      </c>
      <c r="AJ116" s="96"/>
      <c r="AK116" s="96"/>
    </row>
    <row r="117" spans="2:37" ht="25.35" customHeight="1">
      <c r="B117" s="255"/>
      <c r="C117" s="61" t="s">
        <v>235</v>
      </c>
      <c r="D117" s="243"/>
      <c r="E117" s="244"/>
      <c r="F117" s="115"/>
      <c r="G117" s="116"/>
      <c r="H117" s="115"/>
      <c r="I117" s="116"/>
      <c r="J117" s="115"/>
      <c r="K117" s="116"/>
      <c r="L117" s="115"/>
      <c r="M117" s="116"/>
      <c r="N117" s="140"/>
      <c r="O117" s="141">
        <v>3</v>
      </c>
      <c r="P117" s="140"/>
      <c r="Q117" s="141"/>
      <c r="R117" s="140"/>
      <c r="S117" s="141"/>
      <c r="T117" s="140"/>
      <c r="U117" s="141"/>
      <c r="V117" s="140"/>
      <c r="W117" s="141"/>
      <c r="X117" s="167"/>
      <c r="Y117" s="168"/>
      <c r="Z117" s="167"/>
      <c r="AA117" s="168"/>
      <c r="AB117" s="167"/>
      <c r="AC117" s="168"/>
      <c r="AD117" s="167"/>
      <c r="AE117" s="168"/>
      <c r="AF117" s="167"/>
      <c r="AG117" s="168"/>
      <c r="AH117" s="83">
        <v>0</v>
      </c>
      <c r="AI117" s="83">
        <v>3</v>
      </c>
      <c r="AJ117" s="96"/>
      <c r="AK117" s="96"/>
    </row>
    <row r="118" spans="2:37" ht="25.35" customHeight="1">
      <c r="B118" s="344"/>
      <c r="C118" s="61" t="s">
        <v>322</v>
      </c>
      <c r="D118" s="243"/>
      <c r="E118" s="244"/>
      <c r="F118" s="115"/>
      <c r="G118" s="116"/>
      <c r="H118" s="115"/>
      <c r="I118" s="116"/>
      <c r="J118" s="115"/>
      <c r="K118" s="116"/>
      <c r="L118" s="115"/>
      <c r="M118" s="116"/>
      <c r="N118" s="140">
        <v>2</v>
      </c>
      <c r="O118" s="141"/>
      <c r="P118" s="140"/>
      <c r="Q118" s="141"/>
      <c r="R118" s="140"/>
      <c r="S118" s="141"/>
      <c r="T118" s="140"/>
      <c r="U118" s="141"/>
      <c r="V118" s="140"/>
      <c r="W118" s="141"/>
      <c r="X118" s="167">
        <v>2</v>
      </c>
      <c r="Y118" s="168"/>
      <c r="Z118" s="167"/>
      <c r="AA118" s="168"/>
      <c r="AB118" s="167"/>
      <c r="AC118" s="168"/>
      <c r="AD118" s="167"/>
      <c r="AE118" s="168"/>
      <c r="AF118" s="167"/>
      <c r="AG118" s="168"/>
      <c r="AH118" s="83">
        <v>2</v>
      </c>
      <c r="AI118" s="83">
        <v>0</v>
      </c>
      <c r="AJ118" s="96"/>
      <c r="AK118" s="96"/>
    </row>
    <row r="119" spans="2:37" ht="25.35" customHeight="1">
      <c r="B119" s="344"/>
      <c r="C119" s="61" t="s">
        <v>323</v>
      </c>
      <c r="D119" s="243"/>
      <c r="E119" s="244"/>
      <c r="F119" s="115"/>
      <c r="G119" s="116"/>
      <c r="H119" s="115"/>
      <c r="I119" s="116"/>
      <c r="J119" s="115"/>
      <c r="K119" s="116"/>
      <c r="L119" s="115"/>
      <c r="M119" s="116"/>
      <c r="N119" s="140"/>
      <c r="O119" s="141"/>
      <c r="P119" s="140"/>
      <c r="Q119" s="141"/>
      <c r="R119" s="140"/>
      <c r="S119" s="141"/>
      <c r="T119" s="140"/>
      <c r="U119" s="141"/>
      <c r="V119" s="140"/>
      <c r="W119" s="141"/>
      <c r="X119" s="167">
        <v>2</v>
      </c>
      <c r="Y119" s="168"/>
      <c r="Z119" s="167"/>
      <c r="AA119" s="168"/>
      <c r="AB119" s="167"/>
      <c r="AC119" s="168"/>
      <c r="AD119" s="167"/>
      <c r="AE119" s="168"/>
      <c r="AF119" s="167"/>
      <c r="AG119" s="168"/>
      <c r="AH119" s="83">
        <v>2</v>
      </c>
      <c r="AI119" s="83">
        <v>0</v>
      </c>
      <c r="AJ119" s="96"/>
      <c r="AK119" s="96"/>
    </row>
    <row r="120" spans="2:37" ht="25.35" customHeight="1">
      <c r="B120" s="344"/>
      <c r="C120" s="61" t="s">
        <v>324</v>
      </c>
      <c r="D120" s="243"/>
      <c r="E120" s="244"/>
      <c r="F120" s="115"/>
      <c r="G120" s="116"/>
      <c r="H120" s="115"/>
      <c r="I120" s="116"/>
      <c r="J120" s="115"/>
      <c r="K120" s="116"/>
      <c r="L120" s="115"/>
      <c r="M120" s="116"/>
      <c r="N120" s="140"/>
      <c r="O120" s="141">
        <v>2</v>
      </c>
      <c r="P120" s="140"/>
      <c r="Q120" s="141"/>
      <c r="R120" s="140"/>
      <c r="S120" s="141"/>
      <c r="T120" s="140"/>
      <c r="U120" s="141"/>
      <c r="V120" s="140"/>
      <c r="W120" s="141"/>
      <c r="X120" s="167"/>
      <c r="Y120" s="168">
        <v>2</v>
      </c>
      <c r="Z120" s="167"/>
      <c r="AA120" s="168"/>
      <c r="AB120" s="167"/>
      <c r="AC120" s="168"/>
      <c r="AD120" s="167"/>
      <c r="AE120" s="168"/>
      <c r="AF120" s="167"/>
      <c r="AG120" s="168"/>
      <c r="AH120" s="83">
        <v>0</v>
      </c>
      <c r="AI120" s="83">
        <v>2</v>
      </c>
      <c r="AJ120" s="96"/>
      <c r="AK120" s="96"/>
    </row>
    <row r="121" spans="2:37" ht="25.35" customHeight="1">
      <c r="B121" s="344"/>
      <c r="C121" s="61" t="s">
        <v>325</v>
      </c>
      <c r="D121" s="243"/>
      <c r="E121" s="244"/>
      <c r="F121" s="115"/>
      <c r="G121" s="116"/>
      <c r="H121" s="115"/>
      <c r="I121" s="116"/>
      <c r="J121" s="115"/>
      <c r="K121" s="116"/>
      <c r="L121" s="115"/>
      <c r="M121" s="116"/>
      <c r="N121" s="140"/>
      <c r="O121" s="141"/>
      <c r="P121" s="140"/>
      <c r="Q121" s="141"/>
      <c r="R121" s="140"/>
      <c r="S121" s="141"/>
      <c r="T121" s="140"/>
      <c r="U121" s="141"/>
      <c r="V121" s="140"/>
      <c r="W121" s="141"/>
      <c r="X121" s="167">
        <v>2</v>
      </c>
      <c r="Y121" s="168">
        <v>2</v>
      </c>
      <c r="Z121" s="167"/>
      <c r="AA121" s="168"/>
      <c r="AB121" s="167"/>
      <c r="AC121" s="168"/>
      <c r="AD121" s="167"/>
      <c r="AE121" s="168"/>
      <c r="AF121" s="167"/>
      <c r="AG121" s="168"/>
      <c r="AH121" s="83">
        <v>2</v>
      </c>
      <c r="AI121" s="83">
        <v>2</v>
      </c>
      <c r="AJ121" s="96"/>
      <c r="AK121" s="96"/>
    </row>
    <row r="122" spans="2:37" ht="25.35" customHeight="1">
      <c r="B122" s="344"/>
      <c r="C122" s="61" t="s">
        <v>326</v>
      </c>
      <c r="D122" s="243"/>
      <c r="E122" s="244"/>
      <c r="F122" s="115"/>
      <c r="G122" s="116"/>
      <c r="H122" s="115"/>
      <c r="I122" s="116"/>
      <c r="J122" s="115"/>
      <c r="K122" s="116"/>
      <c r="L122" s="115"/>
      <c r="M122" s="116"/>
      <c r="N122" s="140"/>
      <c r="O122" s="141"/>
      <c r="P122" s="140"/>
      <c r="Q122" s="141"/>
      <c r="R122" s="140"/>
      <c r="S122" s="141"/>
      <c r="T122" s="140"/>
      <c r="U122" s="141"/>
      <c r="V122" s="140"/>
      <c r="W122" s="141"/>
      <c r="X122" s="167">
        <v>2</v>
      </c>
      <c r="Y122" s="168">
        <v>2</v>
      </c>
      <c r="Z122" s="167"/>
      <c r="AA122" s="168"/>
      <c r="AB122" s="167"/>
      <c r="AC122" s="168"/>
      <c r="AD122" s="167"/>
      <c r="AE122" s="168"/>
      <c r="AF122" s="167"/>
      <c r="AG122" s="168"/>
      <c r="AH122" s="83">
        <v>2</v>
      </c>
      <c r="AI122" s="83">
        <v>2</v>
      </c>
      <c r="AJ122" s="96"/>
      <c r="AK122" s="96"/>
    </row>
    <row r="123" spans="2:37" ht="25.35" customHeight="1">
      <c r="B123" s="255"/>
      <c r="C123" s="61" t="s">
        <v>185</v>
      </c>
      <c r="D123" s="243"/>
      <c r="E123" s="244"/>
      <c r="F123" s="115"/>
      <c r="G123" s="116"/>
      <c r="H123" s="115"/>
      <c r="I123" s="116"/>
      <c r="J123" s="115"/>
      <c r="K123" s="116"/>
      <c r="L123" s="115"/>
      <c r="M123" s="116"/>
      <c r="N123" s="140"/>
      <c r="O123" s="141">
        <v>2</v>
      </c>
      <c r="P123" s="140"/>
      <c r="Q123" s="141"/>
      <c r="R123" s="140"/>
      <c r="S123" s="141"/>
      <c r="T123" s="140"/>
      <c r="U123" s="141"/>
      <c r="V123" s="140"/>
      <c r="W123" s="141"/>
      <c r="X123" s="167">
        <v>2</v>
      </c>
      <c r="Y123" s="168"/>
      <c r="Z123" s="167"/>
      <c r="AA123" s="168"/>
      <c r="AB123" s="167"/>
      <c r="AC123" s="168"/>
      <c r="AD123" s="167"/>
      <c r="AE123" s="168"/>
      <c r="AF123" s="167"/>
      <c r="AG123" s="168"/>
      <c r="AH123" s="83">
        <v>2</v>
      </c>
      <c r="AI123" s="83">
        <v>2</v>
      </c>
      <c r="AJ123" s="96"/>
      <c r="AK123" s="96"/>
    </row>
    <row r="124" spans="2:37" ht="25.35" customHeight="1">
      <c r="B124" s="344"/>
      <c r="C124" s="61" t="s">
        <v>327</v>
      </c>
      <c r="D124" s="243"/>
      <c r="E124" s="244"/>
      <c r="F124" s="115"/>
      <c r="G124" s="116"/>
      <c r="H124" s="115"/>
      <c r="I124" s="116"/>
      <c r="J124" s="115"/>
      <c r="K124" s="116"/>
      <c r="L124" s="115"/>
      <c r="M124" s="116"/>
      <c r="N124" s="140"/>
      <c r="O124" s="141"/>
      <c r="P124" s="140"/>
      <c r="Q124" s="141"/>
      <c r="R124" s="140"/>
      <c r="S124" s="141"/>
      <c r="T124" s="140"/>
      <c r="U124" s="141"/>
      <c r="V124" s="140"/>
      <c r="W124" s="141"/>
      <c r="X124" s="167"/>
      <c r="Y124" s="168">
        <v>2</v>
      </c>
      <c r="Z124" s="167"/>
      <c r="AA124" s="168"/>
      <c r="AB124" s="167"/>
      <c r="AC124" s="168"/>
      <c r="AD124" s="167"/>
      <c r="AE124" s="168"/>
      <c r="AF124" s="167"/>
      <c r="AG124" s="168"/>
      <c r="AH124" s="83">
        <v>0</v>
      </c>
      <c r="AI124" s="83">
        <v>2</v>
      </c>
      <c r="AJ124" s="96"/>
      <c r="AK124" s="96"/>
    </row>
    <row r="125" spans="2:37" ht="25.35" customHeight="1">
      <c r="B125" s="344"/>
      <c r="C125" s="61" t="s">
        <v>328</v>
      </c>
      <c r="D125" s="243"/>
      <c r="E125" s="244"/>
      <c r="F125" s="115"/>
      <c r="G125" s="116"/>
      <c r="H125" s="115"/>
      <c r="I125" s="116"/>
      <c r="J125" s="115"/>
      <c r="K125" s="116"/>
      <c r="L125" s="115"/>
      <c r="M125" s="116"/>
      <c r="N125" s="140"/>
      <c r="O125" s="141"/>
      <c r="P125" s="140"/>
      <c r="Q125" s="141"/>
      <c r="R125" s="140"/>
      <c r="S125" s="141"/>
      <c r="T125" s="140"/>
      <c r="U125" s="141"/>
      <c r="V125" s="140"/>
      <c r="W125" s="141"/>
      <c r="X125" s="167"/>
      <c r="Y125" s="168">
        <v>2</v>
      </c>
      <c r="Z125" s="167"/>
      <c r="AA125" s="168"/>
      <c r="AB125" s="167"/>
      <c r="AC125" s="168"/>
      <c r="AD125" s="167"/>
      <c r="AE125" s="168"/>
      <c r="AF125" s="167"/>
      <c r="AG125" s="168"/>
      <c r="AH125" s="83">
        <v>0</v>
      </c>
      <c r="AI125" s="83">
        <v>2</v>
      </c>
      <c r="AJ125" s="96"/>
      <c r="AK125" s="96"/>
    </row>
    <row r="126" spans="2:37" ht="25.35" customHeight="1">
      <c r="B126" s="344"/>
      <c r="C126" s="61" t="s">
        <v>329</v>
      </c>
      <c r="D126" s="243"/>
      <c r="E126" s="244"/>
      <c r="F126" s="115"/>
      <c r="G126" s="116"/>
      <c r="H126" s="115"/>
      <c r="I126" s="116"/>
      <c r="J126" s="115"/>
      <c r="K126" s="116"/>
      <c r="L126" s="115"/>
      <c r="M126" s="116"/>
      <c r="N126" s="140"/>
      <c r="O126" s="141"/>
      <c r="P126" s="140"/>
      <c r="Q126" s="141"/>
      <c r="R126" s="140"/>
      <c r="S126" s="141"/>
      <c r="T126" s="140"/>
      <c r="U126" s="141"/>
      <c r="V126" s="140"/>
      <c r="W126" s="141"/>
      <c r="X126" s="167">
        <v>2</v>
      </c>
      <c r="Y126" s="168">
        <v>2</v>
      </c>
      <c r="Z126" s="167"/>
      <c r="AA126" s="168"/>
      <c r="AB126" s="167"/>
      <c r="AC126" s="168"/>
      <c r="AD126" s="167"/>
      <c r="AE126" s="168"/>
      <c r="AF126" s="167"/>
      <c r="AG126" s="168"/>
      <c r="AH126" s="83">
        <v>2</v>
      </c>
      <c r="AI126" s="83">
        <v>2</v>
      </c>
      <c r="AJ126" s="96"/>
      <c r="AK126" s="96"/>
    </row>
    <row r="127" spans="2:37" ht="25.35" customHeight="1">
      <c r="B127" s="344"/>
      <c r="C127" s="61" t="s">
        <v>330</v>
      </c>
      <c r="D127" s="243"/>
      <c r="E127" s="244"/>
      <c r="F127" s="115"/>
      <c r="G127" s="116"/>
      <c r="H127" s="115"/>
      <c r="I127" s="116"/>
      <c r="J127" s="115"/>
      <c r="K127" s="116"/>
      <c r="L127" s="115"/>
      <c r="M127" s="116"/>
      <c r="N127" s="140"/>
      <c r="O127" s="141"/>
      <c r="P127" s="140"/>
      <c r="Q127" s="141"/>
      <c r="R127" s="140"/>
      <c r="S127" s="141"/>
      <c r="T127" s="140"/>
      <c r="U127" s="141"/>
      <c r="V127" s="140"/>
      <c r="W127" s="141"/>
      <c r="X127" s="167">
        <v>2</v>
      </c>
      <c r="Y127" s="168">
        <v>2</v>
      </c>
      <c r="Z127" s="167"/>
      <c r="AA127" s="168"/>
      <c r="AB127" s="167"/>
      <c r="AC127" s="168"/>
      <c r="AD127" s="167"/>
      <c r="AE127" s="168"/>
      <c r="AF127" s="167"/>
      <c r="AG127" s="168"/>
      <c r="AH127" s="83">
        <v>2</v>
      </c>
      <c r="AI127" s="83">
        <v>2</v>
      </c>
      <c r="AJ127" s="96"/>
      <c r="AK127" s="96"/>
    </row>
    <row r="128" spans="2:37" ht="25.35" customHeight="1">
      <c r="B128" s="344"/>
      <c r="C128" s="61" t="s">
        <v>333</v>
      </c>
      <c r="D128" s="243"/>
      <c r="E128" s="244"/>
      <c r="F128" s="115"/>
      <c r="G128" s="116"/>
      <c r="H128" s="115"/>
      <c r="I128" s="116"/>
      <c r="J128" s="115"/>
      <c r="K128" s="116"/>
      <c r="L128" s="115"/>
      <c r="M128" s="116"/>
      <c r="N128" s="140"/>
      <c r="O128" s="141"/>
      <c r="P128" s="140"/>
      <c r="Q128" s="141"/>
      <c r="R128" s="140"/>
      <c r="S128" s="141"/>
      <c r="T128" s="140"/>
      <c r="U128" s="141"/>
      <c r="V128" s="140"/>
      <c r="W128" s="141"/>
      <c r="X128" s="167">
        <v>2</v>
      </c>
      <c r="Y128" s="168"/>
      <c r="Z128" s="167"/>
      <c r="AA128" s="168"/>
      <c r="AB128" s="167"/>
      <c r="AC128" s="168"/>
      <c r="AD128" s="167"/>
      <c r="AE128" s="168"/>
      <c r="AF128" s="167"/>
      <c r="AG128" s="168"/>
      <c r="AH128" s="83">
        <v>2</v>
      </c>
      <c r="AI128" s="83">
        <v>0</v>
      </c>
      <c r="AJ128" s="96"/>
      <c r="AK128" s="96"/>
    </row>
    <row r="129" spans="2:39" ht="25.35" customHeight="1">
      <c r="B129" s="344"/>
      <c r="C129" s="61" t="s">
        <v>334</v>
      </c>
      <c r="D129" s="243"/>
      <c r="E129" s="244"/>
      <c r="F129" s="115"/>
      <c r="G129" s="116"/>
      <c r="H129" s="115"/>
      <c r="I129" s="116"/>
      <c r="J129" s="115"/>
      <c r="K129" s="116"/>
      <c r="L129" s="115"/>
      <c r="M129" s="116"/>
      <c r="N129" s="140"/>
      <c r="O129" s="141"/>
      <c r="P129" s="140"/>
      <c r="Q129" s="141"/>
      <c r="R129" s="140"/>
      <c r="S129" s="141"/>
      <c r="T129" s="140"/>
      <c r="U129" s="141"/>
      <c r="V129" s="140"/>
      <c r="W129" s="141"/>
      <c r="X129" s="167">
        <v>2</v>
      </c>
      <c r="Y129" s="168"/>
      <c r="Z129" s="167"/>
      <c r="AA129" s="168"/>
      <c r="AB129" s="167"/>
      <c r="AC129" s="168"/>
      <c r="AD129" s="167"/>
      <c r="AE129" s="168"/>
      <c r="AF129" s="167"/>
      <c r="AG129" s="168"/>
      <c r="AH129" s="83">
        <v>2</v>
      </c>
      <c r="AI129" s="83">
        <v>0</v>
      </c>
      <c r="AJ129" s="96"/>
      <c r="AK129" s="96"/>
    </row>
    <row r="130" spans="2:39" ht="25.35" customHeight="1">
      <c r="B130" s="344"/>
      <c r="C130" s="61" t="s">
        <v>331</v>
      </c>
      <c r="D130" s="243"/>
      <c r="E130" s="244"/>
      <c r="F130" s="115"/>
      <c r="G130" s="116"/>
      <c r="H130" s="115"/>
      <c r="I130" s="116"/>
      <c r="J130" s="115"/>
      <c r="K130" s="116"/>
      <c r="L130" s="115"/>
      <c r="M130" s="116"/>
      <c r="N130" s="140"/>
      <c r="O130" s="141"/>
      <c r="P130" s="140"/>
      <c r="Q130" s="141"/>
      <c r="R130" s="140"/>
      <c r="S130" s="141"/>
      <c r="T130" s="140"/>
      <c r="U130" s="141"/>
      <c r="V130" s="140"/>
      <c r="W130" s="141"/>
      <c r="X130" s="167"/>
      <c r="Y130" s="168">
        <v>2</v>
      </c>
      <c r="Z130" s="167"/>
      <c r="AA130" s="168"/>
      <c r="AB130" s="167"/>
      <c r="AC130" s="168"/>
      <c r="AD130" s="167"/>
      <c r="AE130" s="168"/>
      <c r="AF130" s="167"/>
      <c r="AG130" s="168"/>
      <c r="AH130" s="83">
        <v>0</v>
      </c>
      <c r="AI130" s="83">
        <v>2</v>
      </c>
      <c r="AJ130" s="96"/>
      <c r="AK130" s="96"/>
    </row>
    <row r="131" spans="2:39" ht="25.35" customHeight="1">
      <c r="B131" s="344"/>
      <c r="C131" s="61" t="s">
        <v>332</v>
      </c>
      <c r="D131" s="243"/>
      <c r="E131" s="244"/>
      <c r="F131" s="115"/>
      <c r="G131" s="116"/>
      <c r="H131" s="115"/>
      <c r="I131" s="116"/>
      <c r="J131" s="115"/>
      <c r="K131" s="116"/>
      <c r="L131" s="115"/>
      <c r="M131" s="116"/>
      <c r="N131" s="140"/>
      <c r="O131" s="141"/>
      <c r="P131" s="140"/>
      <c r="Q131" s="141"/>
      <c r="R131" s="140"/>
      <c r="S131" s="141"/>
      <c r="T131" s="140"/>
      <c r="U131" s="141"/>
      <c r="V131" s="140"/>
      <c r="W131" s="141"/>
      <c r="X131" s="167"/>
      <c r="Y131" s="168">
        <v>2</v>
      </c>
      <c r="Z131" s="167"/>
      <c r="AA131" s="168"/>
      <c r="AB131" s="167"/>
      <c r="AC131" s="168"/>
      <c r="AD131" s="167"/>
      <c r="AE131" s="168"/>
      <c r="AF131" s="167"/>
      <c r="AG131" s="168"/>
      <c r="AH131" s="83">
        <v>0</v>
      </c>
      <c r="AI131" s="83">
        <v>2</v>
      </c>
      <c r="AJ131" s="96"/>
      <c r="AK131" s="96"/>
    </row>
    <row r="132" spans="2:39" ht="25.35" customHeight="1">
      <c r="B132" s="255"/>
      <c r="C132" s="61" t="s">
        <v>237</v>
      </c>
      <c r="D132" s="243"/>
      <c r="E132" s="244"/>
      <c r="F132" s="115"/>
      <c r="G132" s="116"/>
      <c r="H132" s="115"/>
      <c r="I132" s="116"/>
      <c r="J132" s="115"/>
      <c r="K132" s="116"/>
      <c r="L132" s="115"/>
      <c r="M132" s="116"/>
      <c r="N132" s="140">
        <v>2</v>
      </c>
      <c r="O132" s="141"/>
      <c r="P132" s="140"/>
      <c r="Q132" s="141"/>
      <c r="R132" s="140"/>
      <c r="S132" s="141"/>
      <c r="T132" s="140"/>
      <c r="U132" s="141"/>
      <c r="V132" s="140"/>
      <c r="W132" s="141"/>
      <c r="X132" s="167"/>
      <c r="Y132" s="168"/>
      <c r="Z132" s="167"/>
      <c r="AA132" s="168"/>
      <c r="AB132" s="167"/>
      <c r="AC132" s="168"/>
      <c r="AD132" s="167"/>
      <c r="AE132" s="168"/>
      <c r="AF132" s="167"/>
      <c r="AG132" s="168"/>
      <c r="AH132" s="83">
        <v>2</v>
      </c>
      <c r="AI132" s="83">
        <v>0</v>
      </c>
      <c r="AJ132" s="96"/>
      <c r="AK132" s="96"/>
    </row>
    <row r="133" spans="2:39" ht="25.35" customHeight="1" thickBot="1">
      <c r="B133" s="255"/>
      <c r="C133" s="61" t="s">
        <v>238</v>
      </c>
      <c r="D133" s="243"/>
      <c r="E133" s="244"/>
      <c r="F133" s="115"/>
      <c r="G133" s="116"/>
      <c r="H133" s="115"/>
      <c r="I133" s="116"/>
      <c r="J133" s="115"/>
      <c r="K133" s="116"/>
      <c r="L133" s="115"/>
      <c r="M133" s="116"/>
      <c r="N133" s="140">
        <v>2</v>
      </c>
      <c r="O133" s="141"/>
      <c r="P133" s="140"/>
      <c r="Q133" s="141"/>
      <c r="R133" s="140"/>
      <c r="S133" s="141"/>
      <c r="T133" s="140"/>
      <c r="U133" s="141"/>
      <c r="V133" s="140"/>
      <c r="W133" s="141"/>
      <c r="X133" s="167"/>
      <c r="Y133" s="168"/>
      <c r="Z133" s="167"/>
      <c r="AA133" s="168"/>
      <c r="AB133" s="167"/>
      <c r="AC133" s="168"/>
      <c r="AD133" s="167"/>
      <c r="AE133" s="168"/>
      <c r="AF133" s="167"/>
      <c r="AG133" s="168"/>
      <c r="AH133" s="83">
        <v>2</v>
      </c>
      <c r="AI133" s="83">
        <v>0</v>
      </c>
      <c r="AJ133" s="96"/>
      <c r="AK133" s="96"/>
    </row>
    <row r="134" spans="2:39" ht="25.35" customHeight="1" thickTop="1">
      <c r="B134" s="550" t="s">
        <v>23</v>
      </c>
      <c r="C134" s="59" t="s">
        <v>54</v>
      </c>
      <c r="D134" s="101">
        <v>1</v>
      </c>
      <c r="E134" s="102">
        <v>1</v>
      </c>
      <c r="F134" s="101">
        <v>1</v>
      </c>
      <c r="G134" s="102">
        <v>1</v>
      </c>
      <c r="H134" s="101">
        <v>1</v>
      </c>
      <c r="I134" s="102">
        <v>1</v>
      </c>
      <c r="J134" s="101">
        <v>1</v>
      </c>
      <c r="K134" s="102">
        <v>1</v>
      </c>
      <c r="L134" s="101">
        <v>1</v>
      </c>
      <c r="M134" s="102">
        <v>1</v>
      </c>
      <c r="N134" s="128"/>
      <c r="O134" s="139"/>
      <c r="P134" s="128"/>
      <c r="Q134" s="139"/>
      <c r="R134" s="128"/>
      <c r="S134" s="139"/>
      <c r="T134" s="128"/>
      <c r="U134" s="139"/>
      <c r="V134" s="128"/>
      <c r="W134" s="139"/>
      <c r="X134" s="153"/>
      <c r="Y134" s="154"/>
      <c r="Z134" s="153"/>
      <c r="AA134" s="154"/>
      <c r="AB134" s="153"/>
      <c r="AC134" s="154"/>
      <c r="AD134" s="153"/>
      <c r="AE134" s="154"/>
      <c r="AF134" s="153"/>
      <c r="AG134" s="154"/>
      <c r="AH134" s="75">
        <f>F134*2+H134*2+J134*2+L134*2+P134*3+R134*2+T134*2+V134*2+Z134*3+AB134*2+AD134*2+AF134*2+D134</f>
        <v>9</v>
      </c>
      <c r="AI134" s="75">
        <f>G134*2+I134*2+K134*2+M134*2+Q134*3+S134*2+U134*2+W134*2+AA134*3+AC134*2+AE134*2+AG134*2+E134</f>
        <v>9</v>
      </c>
      <c r="AJ134" s="5">
        <f>SUM(AH134:AH135)</f>
        <v>18</v>
      </c>
      <c r="AK134" s="5">
        <f>SUM(AI134:AI135)</f>
        <v>18</v>
      </c>
      <c r="AM134" s="224"/>
    </row>
    <row r="135" spans="2:39" ht="25.35" customHeight="1">
      <c r="B135" s="552"/>
      <c r="C135" s="43" t="s">
        <v>55</v>
      </c>
      <c r="D135" s="103"/>
      <c r="E135" s="104"/>
      <c r="F135" s="103">
        <v>1</v>
      </c>
      <c r="G135" s="104">
        <v>1</v>
      </c>
      <c r="H135" s="103">
        <v>1</v>
      </c>
      <c r="I135" s="104">
        <v>1</v>
      </c>
      <c r="J135" s="103">
        <v>1</v>
      </c>
      <c r="K135" s="104">
        <v>1</v>
      </c>
      <c r="L135" s="103">
        <v>1</v>
      </c>
      <c r="M135" s="104">
        <v>1</v>
      </c>
      <c r="N135" s="129">
        <v>1</v>
      </c>
      <c r="O135" s="130">
        <v>1</v>
      </c>
      <c r="P135" s="129"/>
      <c r="Q135" s="130"/>
      <c r="R135" s="129"/>
      <c r="S135" s="130"/>
      <c r="T135" s="129"/>
      <c r="U135" s="130"/>
      <c r="V135" s="129"/>
      <c r="W135" s="130"/>
      <c r="X135" s="155"/>
      <c r="Y135" s="156"/>
      <c r="Z135" s="155"/>
      <c r="AA135" s="156"/>
      <c r="AB135" s="155"/>
      <c r="AC135" s="156"/>
      <c r="AD135" s="155"/>
      <c r="AE135" s="156"/>
      <c r="AF135" s="155"/>
      <c r="AG135" s="156"/>
      <c r="AH135" s="79">
        <v>9</v>
      </c>
      <c r="AI135" s="79">
        <v>9</v>
      </c>
      <c r="AJ135" s="21"/>
      <c r="AK135" s="21"/>
    </row>
    <row r="136" spans="2:39" ht="44.25" customHeight="1">
      <c r="B136" s="552"/>
      <c r="C136" s="17" t="s">
        <v>17</v>
      </c>
      <c r="D136" s="103">
        <v>2</v>
      </c>
      <c r="E136" s="104">
        <v>2</v>
      </c>
      <c r="F136" s="103">
        <v>2</v>
      </c>
      <c r="G136" s="104">
        <v>2</v>
      </c>
      <c r="H136" s="103">
        <v>2</v>
      </c>
      <c r="I136" s="104">
        <v>2</v>
      </c>
      <c r="J136" s="103">
        <v>2</v>
      </c>
      <c r="K136" s="104">
        <v>2</v>
      </c>
      <c r="L136" s="103">
        <v>2</v>
      </c>
      <c r="M136" s="104">
        <v>2</v>
      </c>
      <c r="N136" s="129">
        <v>2</v>
      </c>
      <c r="O136" s="130">
        <v>2</v>
      </c>
      <c r="P136" s="129">
        <v>2</v>
      </c>
      <c r="Q136" s="130">
        <v>2</v>
      </c>
      <c r="R136" s="129">
        <v>2</v>
      </c>
      <c r="S136" s="130">
        <v>2</v>
      </c>
      <c r="T136" s="129">
        <v>2</v>
      </c>
      <c r="U136" s="130">
        <v>2</v>
      </c>
      <c r="V136" s="129">
        <v>2</v>
      </c>
      <c r="W136" s="130">
        <v>2</v>
      </c>
      <c r="X136" s="155">
        <v>2</v>
      </c>
      <c r="Y136" s="156">
        <v>2</v>
      </c>
      <c r="Z136" s="155">
        <v>2</v>
      </c>
      <c r="AA136" s="156">
        <v>2</v>
      </c>
      <c r="AB136" s="155">
        <v>2</v>
      </c>
      <c r="AC136" s="156">
        <v>2</v>
      </c>
      <c r="AD136" s="155">
        <v>2</v>
      </c>
      <c r="AE136" s="156">
        <v>2</v>
      </c>
      <c r="AF136" s="155">
        <v>2</v>
      </c>
      <c r="AG136" s="156">
        <v>2</v>
      </c>
      <c r="AH136" s="79">
        <f t="shared" ref="AH136:AI138" si="3">F136*2+H136*2+J136*2+L136*2+P136*3+R136*2+T136*2+V136*2+Z136*3+AB136*2+AD136*2+AF136*2+D136</f>
        <v>54</v>
      </c>
      <c r="AI136" s="79">
        <f t="shared" si="3"/>
        <v>54</v>
      </c>
      <c r="AJ136" s="10">
        <f>SUM(AH136)</f>
        <v>54</v>
      </c>
      <c r="AK136" s="10">
        <f t="shared" ref="AJ136:AK139" si="4">SUM(AI136)</f>
        <v>54</v>
      </c>
      <c r="AM136" s="224"/>
    </row>
    <row r="137" spans="2:39" ht="28.5" customHeight="1">
      <c r="B137" s="552"/>
      <c r="C137" s="15" t="s">
        <v>18</v>
      </c>
      <c r="D137" s="103">
        <v>1</v>
      </c>
      <c r="E137" s="104">
        <v>1</v>
      </c>
      <c r="F137" s="103">
        <v>1</v>
      </c>
      <c r="G137" s="104">
        <v>1</v>
      </c>
      <c r="H137" s="103">
        <v>1</v>
      </c>
      <c r="I137" s="104">
        <v>1</v>
      </c>
      <c r="J137" s="103">
        <v>1</v>
      </c>
      <c r="K137" s="104">
        <v>1</v>
      </c>
      <c r="L137" s="103">
        <v>1</v>
      </c>
      <c r="M137" s="104">
        <v>1</v>
      </c>
      <c r="N137" s="129"/>
      <c r="O137" s="130"/>
      <c r="P137" s="129"/>
      <c r="Q137" s="130"/>
      <c r="R137" s="129"/>
      <c r="S137" s="130"/>
      <c r="T137" s="129"/>
      <c r="U137" s="130"/>
      <c r="V137" s="129"/>
      <c r="W137" s="130"/>
      <c r="X137" s="155"/>
      <c r="Y137" s="156"/>
      <c r="Z137" s="155"/>
      <c r="AA137" s="156"/>
      <c r="AB137" s="155"/>
      <c r="AC137" s="156"/>
      <c r="AD137" s="155"/>
      <c r="AE137" s="156"/>
      <c r="AF137" s="155"/>
      <c r="AG137" s="156"/>
      <c r="AH137" s="79">
        <f t="shared" si="3"/>
        <v>9</v>
      </c>
      <c r="AI137" s="79">
        <f t="shared" si="3"/>
        <v>9</v>
      </c>
      <c r="AJ137" s="10">
        <f t="shared" si="4"/>
        <v>9</v>
      </c>
      <c r="AK137" s="10">
        <f t="shared" si="4"/>
        <v>9</v>
      </c>
    </row>
    <row r="138" spans="2:39" ht="27.75" customHeight="1">
      <c r="B138" s="552"/>
      <c r="C138" s="15" t="s">
        <v>19</v>
      </c>
      <c r="D138" s="103">
        <v>1</v>
      </c>
      <c r="E138" s="104">
        <v>1</v>
      </c>
      <c r="F138" s="103">
        <v>1</v>
      </c>
      <c r="G138" s="104">
        <v>1</v>
      </c>
      <c r="H138" s="103">
        <v>1</v>
      </c>
      <c r="I138" s="104">
        <v>1</v>
      </c>
      <c r="J138" s="103">
        <v>1</v>
      </c>
      <c r="K138" s="104">
        <v>1</v>
      </c>
      <c r="L138" s="103">
        <v>1</v>
      </c>
      <c r="M138" s="104">
        <v>1</v>
      </c>
      <c r="N138" s="129"/>
      <c r="O138" s="130"/>
      <c r="P138" s="129"/>
      <c r="Q138" s="130"/>
      <c r="R138" s="129"/>
      <c r="S138" s="130"/>
      <c r="T138" s="129"/>
      <c r="U138" s="130"/>
      <c r="V138" s="129"/>
      <c r="W138" s="130"/>
      <c r="X138" s="155"/>
      <c r="Y138" s="156"/>
      <c r="Z138" s="155"/>
      <c r="AA138" s="156"/>
      <c r="AB138" s="155"/>
      <c r="AC138" s="156"/>
      <c r="AD138" s="155"/>
      <c r="AE138" s="156"/>
      <c r="AF138" s="155"/>
      <c r="AG138" s="156"/>
      <c r="AH138" s="79">
        <f t="shared" si="3"/>
        <v>9</v>
      </c>
      <c r="AI138" s="79">
        <f t="shared" si="3"/>
        <v>9</v>
      </c>
      <c r="AJ138" s="10">
        <f>SUM(AH138)</f>
        <v>9</v>
      </c>
      <c r="AK138" s="10">
        <f t="shared" si="4"/>
        <v>9</v>
      </c>
      <c r="AM138" s="224"/>
    </row>
    <row r="139" spans="2:39" ht="21.75" customHeight="1" thickBot="1">
      <c r="B139" s="552"/>
      <c r="C139" s="17" t="s">
        <v>45</v>
      </c>
      <c r="D139" s="235"/>
      <c r="E139" s="236"/>
      <c r="F139" s="103"/>
      <c r="G139" s="104"/>
      <c r="H139" s="103"/>
      <c r="I139" s="104"/>
      <c r="J139" s="103"/>
      <c r="K139" s="104"/>
      <c r="L139" s="103"/>
      <c r="M139" s="104"/>
      <c r="N139" s="129">
        <v>1</v>
      </c>
      <c r="O139" s="130">
        <v>1</v>
      </c>
      <c r="P139" s="129">
        <v>1</v>
      </c>
      <c r="Q139" s="130">
        <v>1</v>
      </c>
      <c r="R139" s="129">
        <v>1</v>
      </c>
      <c r="S139" s="130">
        <v>1</v>
      </c>
      <c r="T139" s="129">
        <v>1</v>
      </c>
      <c r="U139" s="130">
        <v>1</v>
      </c>
      <c r="V139" s="129">
        <v>1</v>
      </c>
      <c r="W139" s="130">
        <v>1</v>
      </c>
      <c r="X139" s="155"/>
      <c r="Y139" s="156"/>
      <c r="Z139" s="155"/>
      <c r="AA139" s="156"/>
      <c r="AB139" s="155"/>
      <c r="AC139" s="156"/>
      <c r="AD139" s="155"/>
      <c r="AE139" s="156"/>
      <c r="AF139" s="155"/>
      <c r="AG139" s="156"/>
      <c r="AH139" s="79">
        <f>F139*3+H139*2+J139*2+L139*2+P139*3+R139*2+T139*2+V139*2+Z139*3+AB139*2+AD139*2+AF139*2</f>
        <v>9</v>
      </c>
      <c r="AI139" s="79">
        <f>G139*3+I139*2+K139*2+M139*2+Q139*3+S139*2+U139*2+W139*2+AA139*3+AC139*2+AE139*2+AG139*2</f>
        <v>9</v>
      </c>
      <c r="AJ139" s="10">
        <f>SUM(AH139)</f>
        <v>9</v>
      </c>
      <c r="AK139" s="10">
        <f t="shared" si="4"/>
        <v>9</v>
      </c>
      <c r="AM139" s="224"/>
    </row>
    <row r="140" spans="2:39" ht="25.5" customHeight="1" thickTop="1">
      <c r="B140" s="555" t="s">
        <v>5</v>
      </c>
      <c r="C140" s="556"/>
      <c r="D140" s="253">
        <f t="shared" ref="D140:O140" si="5">SUM(D5:D139)</f>
        <v>31</v>
      </c>
      <c r="E140" s="254">
        <f t="shared" si="5"/>
        <v>31</v>
      </c>
      <c r="F140" s="183">
        <f t="shared" si="5"/>
        <v>31</v>
      </c>
      <c r="G140" s="184">
        <f t="shared" si="5"/>
        <v>31</v>
      </c>
      <c r="H140" s="183">
        <f t="shared" si="5"/>
        <v>31</v>
      </c>
      <c r="I140" s="184">
        <f t="shared" si="5"/>
        <v>31</v>
      </c>
      <c r="J140" s="183">
        <f t="shared" si="5"/>
        <v>31</v>
      </c>
      <c r="K140" s="184">
        <f t="shared" si="5"/>
        <v>31</v>
      </c>
      <c r="L140" s="183">
        <f t="shared" si="5"/>
        <v>31</v>
      </c>
      <c r="M140" s="184">
        <f t="shared" si="5"/>
        <v>31</v>
      </c>
      <c r="N140" s="147">
        <f t="shared" si="5"/>
        <v>33</v>
      </c>
      <c r="O140" s="148">
        <f t="shared" si="5"/>
        <v>31</v>
      </c>
      <c r="P140" s="147">
        <f t="shared" ref="P140:AK140" si="6">SUM(P5:P139)</f>
        <v>51</v>
      </c>
      <c r="Q140" s="148">
        <f t="shared" si="6"/>
        <v>35</v>
      </c>
      <c r="R140" s="147">
        <f t="shared" si="6"/>
        <v>48</v>
      </c>
      <c r="S140" s="148">
        <f t="shared" si="6"/>
        <v>40</v>
      </c>
      <c r="T140" s="147">
        <f t="shared" si="6"/>
        <v>48</v>
      </c>
      <c r="U140" s="148">
        <f t="shared" si="6"/>
        <v>36</v>
      </c>
      <c r="V140" s="147">
        <f t="shared" si="6"/>
        <v>52</v>
      </c>
      <c r="W140" s="148">
        <f t="shared" si="6"/>
        <v>38</v>
      </c>
      <c r="X140" s="171">
        <f>SUM(X5:X139)</f>
        <v>34</v>
      </c>
      <c r="Y140" s="172">
        <f>SUM(Y5:Y139)</f>
        <v>34</v>
      </c>
      <c r="Z140" s="171">
        <f t="shared" si="6"/>
        <v>33</v>
      </c>
      <c r="AA140" s="172">
        <f t="shared" si="6"/>
        <v>31</v>
      </c>
      <c r="AB140" s="171">
        <f t="shared" si="6"/>
        <v>32</v>
      </c>
      <c r="AC140" s="172">
        <f t="shared" si="6"/>
        <v>32</v>
      </c>
      <c r="AD140" s="171">
        <f t="shared" si="6"/>
        <v>32</v>
      </c>
      <c r="AE140" s="172">
        <f t="shared" si="6"/>
        <v>32</v>
      </c>
      <c r="AF140" s="171">
        <f t="shared" si="6"/>
        <v>32</v>
      </c>
      <c r="AG140" s="172">
        <f t="shared" si="6"/>
        <v>34</v>
      </c>
      <c r="AH140" s="7">
        <f t="shared" si="6"/>
        <v>862</v>
      </c>
      <c r="AI140" s="7">
        <f t="shared" si="6"/>
        <v>852</v>
      </c>
      <c r="AJ140" s="7">
        <f t="shared" si="6"/>
        <v>858</v>
      </c>
      <c r="AK140" s="11">
        <f t="shared" si="6"/>
        <v>852</v>
      </c>
    </row>
    <row r="141" spans="2:39" ht="16.5">
      <c r="C141" s="98" t="s">
        <v>147</v>
      </c>
      <c r="D141" s="98"/>
      <c r="E141" s="98"/>
      <c r="N141" s="1">
        <v>31</v>
      </c>
      <c r="O141" s="1">
        <v>31</v>
      </c>
      <c r="P141" s="1">
        <v>31</v>
      </c>
      <c r="Q141" s="1">
        <v>31</v>
      </c>
      <c r="R141" s="1">
        <v>31</v>
      </c>
      <c r="S141" s="1">
        <v>31</v>
      </c>
      <c r="T141" s="1">
        <v>31</v>
      </c>
      <c r="U141" s="1">
        <v>31</v>
      </c>
      <c r="V141" s="1">
        <v>31</v>
      </c>
      <c r="W141" s="1">
        <v>31</v>
      </c>
    </row>
    <row r="142" spans="2:39" ht="16.5">
      <c r="B142" s="2"/>
      <c r="C142" s="98" t="s">
        <v>146</v>
      </c>
      <c r="D142" s="98">
        <v>3</v>
      </c>
      <c r="E142" s="98">
        <v>3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  <c r="K142" s="1">
        <v>3</v>
      </c>
      <c r="L142" s="1">
        <v>3</v>
      </c>
      <c r="M142" s="1">
        <v>3</v>
      </c>
      <c r="N142" s="1">
        <v>3</v>
      </c>
      <c r="O142" s="1">
        <v>3</v>
      </c>
      <c r="P142" s="1">
        <v>3</v>
      </c>
      <c r="Q142" s="1">
        <v>3</v>
      </c>
      <c r="R142" s="1">
        <v>3</v>
      </c>
      <c r="S142" s="1">
        <v>3</v>
      </c>
      <c r="T142" s="1">
        <v>3</v>
      </c>
      <c r="U142" s="1">
        <v>3</v>
      </c>
      <c r="V142" s="1">
        <v>3</v>
      </c>
      <c r="W142" s="1">
        <v>3</v>
      </c>
      <c r="Z142" s="1">
        <v>2</v>
      </c>
      <c r="AA142" s="1">
        <v>2</v>
      </c>
      <c r="AB142" s="1">
        <v>2</v>
      </c>
      <c r="AC142" s="1">
        <v>2</v>
      </c>
      <c r="AD142" s="1">
        <v>2</v>
      </c>
      <c r="AE142" s="1">
        <v>2</v>
      </c>
      <c r="AF142" s="1">
        <v>2</v>
      </c>
      <c r="AG142" s="1">
        <v>2</v>
      </c>
    </row>
    <row r="143" spans="2:39" ht="16.5">
      <c r="C143" s="98" t="s">
        <v>150</v>
      </c>
      <c r="D143" s="98"/>
      <c r="E143" s="98"/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</row>
    <row r="144" spans="2:39" ht="16.5">
      <c r="C144" s="98" t="s">
        <v>149</v>
      </c>
      <c r="D144" s="98"/>
      <c r="E144" s="98"/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</row>
    <row r="145" spans="3:13" ht="16.5">
      <c r="C145" s="98" t="s">
        <v>191</v>
      </c>
      <c r="D145" s="3">
        <v>1</v>
      </c>
      <c r="E145" s="3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</row>
    <row r="170" spans="3:5">
      <c r="C170" s="1"/>
      <c r="D170" s="1"/>
      <c r="E170" s="1"/>
    </row>
  </sheetData>
  <mergeCells count="33">
    <mergeCell ref="B140:C140"/>
    <mergeCell ref="AB3:AC3"/>
    <mergeCell ref="AD3:AE3"/>
    <mergeCell ref="AF3:AG3"/>
    <mergeCell ref="B5:B13"/>
    <mergeCell ref="B14:B36"/>
    <mergeCell ref="B37:B43"/>
    <mergeCell ref="B44:B62"/>
    <mergeCell ref="B63:B81"/>
    <mergeCell ref="B82:B102"/>
    <mergeCell ref="B103:B108"/>
    <mergeCell ref="B134:B139"/>
    <mergeCell ref="AH2:AI3"/>
    <mergeCell ref="AJ2:AK3"/>
    <mergeCell ref="AM2:AM3"/>
    <mergeCell ref="D3:E3"/>
    <mergeCell ref="F3:G3"/>
    <mergeCell ref="H3:I3"/>
    <mergeCell ref="J3:K3"/>
    <mergeCell ref="L3:M3"/>
    <mergeCell ref="N3:O3"/>
    <mergeCell ref="P3:Q3"/>
    <mergeCell ref="G1:AB1"/>
    <mergeCell ref="B2:B4"/>
    <mergeCell ref="C2:C4"/>
    <mergeCell ref="D2:M2"/>
    <mergeCell ref="N2:W2"/>
    <mergeCell ref="R3:S3"/>
    <mergeCell ref="T3:U3"/>
    <mergeCell ref="V3:W3"/>
    <mergeCell ref="Z3:AA3"/>
    <mergeCell ref="X3:Y3"/>
    <mergeCell ref="X2:AG2"/>
  </mergeCells>
  <phoneticPr fontId="2" type="noConversion"/>
  <printOptions horizontalCentered="1"/>
  <pageMargins left="0.15748031496062992" right="0.15748031496062992" top="0.19685039370078741" bottom="0.22" header="0.15748031496062992" footer="0.17"/>
  <pageSetup paperSize="12" scale="74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AJ128"/>
  <sheetViews>
    <sheetView topLeftCell="C103" zoomScaleNormal="100" workbookViewId="0">
      <selection activeCell="D121" sqref="D121"/>
    </sheetView>
  </sheetViews>
  <sheetFormatPr defaultColWidth="9" defaultRowHeight="15"/>
  <cols>
    <col min="1" max="1" width="0.875" style="1" customWidth="1"/>
    <col min="2" max="2" width="7.875" style="1" customWidth="1"/>
    <col min="3" max="3" width="31.875" style="3" customWidth="1"/>
    <col min="4" max="29" width="3.625" style="1" customWidth="1"/>
    <col min="30" max="33" width="4.625" style="1" customWidth="1"/>
    <col min="34" max="34" width="2.875" style="1" customWidth="1"/>
    <col min="35" max="16384" width="9" style="1"/>
  </cols>
  <sheetData>
    <row r="1" spans="2:33" ht="27.75">
      <c r="B1" s="24" t="s">
        <v>161</v>
      </c>
      <c r="D1" s="4"/>
      <c r="E1" s="4"/>
      <c r="F1" s="4"/>
      <c r="G1" s="4"/>
      <c r="H1" s="4"/>
      <c r="I1" s="4"/>
      <c r="J1" s="4"/>
      <c r="K1" s="4"/>
      <c r="P1" s="4"/>
      <c r="Q1" s="4"/>
      <c r="R1" s="4"/>
      <c r="S1" s="4"/>
      <c r="T1" s="4"/>
      <c r="U1" s="4"/>
      <c r="AD1" s="4"/>
      <c r="AE1" s="4"/>
      <c r="AF1" s="4"/>
      <c r="AG1" s="4"/>
    </row>
    <row r="2" spans="2:33" ht="16.5">
      <c r="B2" s="560" t="s">
        <v>10</v>
      </c>
      <c r="C2" s="563" t="s">
        <v>1</v>
      </c>
      <c r="D2" s="596" t="s">
        <v>93</v>
      </c>
      <c r="E2" s="597"/>
      <c r="F2" s="598"/>
      <c r="G2" s="598"/>
      <c r="H2" s="598"/>
      <c r="I2" s="598"/>
      <c r="J2" s="598"/>
      <c r="K2" s="597"/>
      <c r="L2" s="571"/>
      <c r="M2" s="572"/>
      <c r="N2" s="570" t="s">
        <v>92</v>
      </c>
      <c r="O2" s="592"/>
      <c r="P2" s="593"/>
      <c r="Q2" s="593"/>
      <c r="R2" s="593"/>
      <c r="S2" s="593"/>
      <c r="T2" s="593"/>
      <c r="U2" s="18"/>
      <c r="V2" s="586" t="s">
        <v>2</v>
      </c>
      <c r="W2" s="587"/>
      <c r="X2" s="588"/>
      <c r="Y2" s="588"/>
      <c r="Z2" s="588"/>
      <c r="AA2" s="588"/>
      <c r="AB2" s="588"/>
      <c r="AC2" s="19"/>
      <c r="AD2" s="589" t="s">
        <v>3</v>
      </c>
      <c r="AE2" s="576"/>
      <c r="AF2" s="575" t="s">
        <v>26</v>
      </c>
      <c r="AG2" s="576"/>
    </row>
    <row r="3" spans="2:33" ht="17.25" thickBot="1">
      <c r="B3" s="561"/>
      <c r="C3" s="561"/>
      <c r="D3" s="582" t="s">
        <v>6</v>
      </c>
      <c r="E3" s="583"/>
      <c r="F3" s="590" t="s">
        <v>7</v>
      </c>
      <c r="G3" s="591"/>
      <c r="H3" s="590" t="s">
        <v>8</v>
      </c>
      <c r="I3" s="591"/>
      <c r="J3" s="590" t="s">
        <v>27</v>
      </c>
      <c r="K3" s="591"/>
      <c r="L3" s="582" t="s">
        <v>158</v>
      </c>
      <c r="M3" s="599"/>
      <c r="N3" s="557" t="s">
        <v>6</v>
      </c>
      <c r="O3" s="558"/>
      <c r="P3" s="557" t="s">
        <v>7</v>
      </c>
      <c r="Q3" s="558"/>
      <c r="R3" s="557" t="s">
        <v>8</v>
      </c>
      <c r="S3" s="558"/>
      <c r="T3" s="557" t="s">
        <v>27</v>
      </c>
      <c r="U3" s="558"/>
      <c r="V3" s="568" t="s">
        <v>6</v>
      </c>
      <c r="W3" s="569"/>
      <c r="X3" s="568" t="s">
        <v>7</v>
      </c>
      <c r="Y3" s="569"/>
      <c r="Z3" s="594" t="s">
        <v>8</v>
      </c>
      <c r="AA3" s="595"/>
      <c r="AB3" s="594" t="s">
        <v>27</v>
      </c>
      <c r="AC3" s="595"/>
      <c r="AD3" s="577"/>
      <c r="AE3" s="578"/>
      <c r="AF3" s="577"/>
      <c r="AG3" s="578"/>
    </row>
    <row r="4" spans="2:33" ht="18" thickTop="1" thickBot="1">
      <c r="B4" s="562"/>
      <c r="C4" s="562"/>
      <c r="D4" s="62" t="s">
        <v>24</v>
      </c>
      <c r="E4" s="63" t="s">
        <v>25</v>
      </c>
      <c r="F4" s="62" t="s">
        <v>24</v>
      </c>
      <c r="G4" s="63" t="s">
        <v>25</v>
      </c>
      <c r="H4" s="62" t="s">
        <v>24</v>
      </c>
      <c r="I4" s="63" t="s">
        <v>25</v>
      </c>
      <c r="J4" s="62" t="s">
        <v>24</v>
      </c>
      <c r="K4" s="63" t="s">
        <v>25</v>
      </c>
      <c r="L4" s="62" t="s">
        <v>160</v>
      </c>
      <c r="M4" s="191" t="s">
        <v>159</v>
      </c>
      <c r="N4" s="64" t="s">
        <v>24</v>
      </c>
      <c r="O4" s="65" t="s">
        <v>25</v>
      </c>
      <c r="P4" s="64" t="s">
        <v>24</v>
      </c>
      <c r="Q4" s="65" t="s">
        <v>25</v>
      </c>
      <c r="R4" s="64" t="s">
        <v>24</v>
      </c>
      <c r="S4" s="65" t="s">
        <v>25</v>
      </c>
      <c r="T4" s="64" t="s">
        <v>24</v>
      </c>
      <c r="U4" s="65" t="s">
        <v>25</v>
      </c>
      <c r="V4" s="66" t="s">
        <v>24</v>
      </c>
      <c r="W4" s="67" t="s">
        <v>25</v>
      </c>
      <c r="X4" s="66" t="s">
        <v>24</v>
      </c>
      <c r="Y4" s="67" t="s">
        <v>25</v>
      </c>
      <c r="Z4" s="185" t="s">
        <v>24</v>
      </c>
      <c r="AA4" s="186" t="s">
        <v>25</v>
      </c>
      <c r="AB4" s="185" t="s">
        <v>24</v>
      </c>
      <c r="AC4" s="186" t="s">
        <v>25</v>
      </c>
      <c r="AD4" s="70" t="s">
        <v>24</v>
      </c>
      <c r="AE4" s="71" t="s">
        <v>25</v>
      </c>
      <c r="AF4" s="68" t="s">
        <v>24</v>
      </c>
      <c r="AG4" s="69" t="s">
        <v>25</v>
      </c>
    </row>
    <row r="5" spans="2:33" ht="25.35" customHeight="1" thickTop="1">
      <c r="B5" s="564" t="s">
        <v>20</v>
      </c>
      <c r="C5" s="59" t="s">
        <v>52</v>
      </c>
      <c r="D5" s="101">
        <v>3</v>
      </c>
      <c r="E5" s="102">
        <v>3</v>
      </c>
      <c r="F5" s="101">
        <v>3</v>
      </c>
      <c r="G5" s="102">
        <v>3</v>
      </c>
      <c r="H5" s="101">
        <v>3</v>
      </c>
      <c r="I5" s="102">
        <v>3</v>
      </c>
      <c r="J5" s="101">
        <v>3</v>
      </c>
      <c r="K5" s="102">
        <v>3</v>
      </c>
      <c r="L5" s="101">
        <v>3</v>
      </c>
      <c r="M5" s="192">
        <v>3</v>
      </c>
      <c r="N5" s="128">
        <v>3</v>
      </c>
      <c r="O5" s="139">
        <v>3</v>
      </c>
      <c r="P5" s="128">
        <v>3</v>
      </c>
      <c r="Q5" s="139">
        <v>3</v>
      </c>
      <c r="R5" s="128">
        <v>3</v>
      </c>
      <c r="S5" s="139">
        <v>3</v>
      </c>
      <c r="T5" s="128">
        <v>3</v>
      </c>
      <c r="U5" s="139">
        <v>3</v>
      </c>
      <c r="V5" s="153">
        <v>2</v>
      </c>
      <c r="W5" s="154">
        <v>2</v>
      </c>
      <c r="X5" s="153">
        <v>2</v>
      </c>
      <c r="Y5" s="154">
        <v>2</v>
      </c>
      <c r="Z5" s="155">
        <v>2</v>
      </c>
      <c r="AA5" s="156">
        <v>2</v>
      </c>
      <c r="AB5" s="155">
        <v>2</v>
      </c>
      <c r="AC5" s="156">
        <v>2</v>
      </c>
      <c r="AD5" s="75">
        <f>D5*2+F5*2+H5*2+J5*2+N5*3+P5*2+R5*2+T5*2+V5*3+X5*2+Z5*2+AB5*2+L5</f>
        <v>72</v>
      </c>
      <c r="AE5" s="75">
        <f>E5*2+G5*2+I5*2+K5*2+O5*3+Q5*2+S5*2+U5*2+W5*3+Y5*2+AA5*2+AC5*2+M5</f>
        <v>72</v>
      </c>
      <c r="AF5" s="5">
        <f>SUM(AD5:AD14)</f>
        <v>127</v>
      </c>
      <c r="AG5" s="5">
        <f>SUM(AE5:AE14)</f>
        <v>131</v>
      </c>
    </row>
    <row r="6" spans="2:33" ht="25.35" customHeight="1">
      <c r="B6" s="565"/>
      <c r="C6" s="43" t="s">
        <v>70</v>
      </c>
      <c r="D6" s="103">
        <v>1</v>
      </c>
      <c r="E6" s="104">
        <v>1</v>
      </c>
      <c r="F6" s="103">
        <v>1</v>
      </c>
      <c r="G6" s="104">
        <v>1</v>
      </c>
      <c r="H6" s="103">
        <v>1</v>
      </c>
      <c r="I6" s="104">
        <v>1</v>
      </c>
      <c r="J6" s="103">
        <v>1</v>
      </c>
      <c r="K6" s="104">
        <v>1</v>
      </c>
      <c r="L6" s="103">
        <v>1</v>
      </c>
      <c r="M6" s="190">
        <v>1</v>
      </c>
      <c r="N6" s="129"/>
      <c r="O6" s="130"/>
      <c r="P6" s="129"/>
      <c r="Q6" s="130"/>
      <c r="R6" s="129"/>
      <c r="S6" s="130"/>
      <c r="T6" s="129"/>
      <c r="U6" s="130"/>
      <c r="V6" s="155"/>
      <c r="W6" s="156"/>
      <c r="X6" s="155"/>
      <c r="Y6" s="156"/>
      <c r="Z6" s="155"/>
      <c r="AA6" s="156"/>
      <c r="AB6" s="155"/>
      <c r="AC6" s="156"/>
      <c r="AD6" s="79">
        <f>D6*2+F6*2+H6*2+J6*2+N6*3+P6*2+R6*2+T6*2+V6*3+X6*2+Z6*2+AB6*2+L6</f>
        <v>9</v>
      </c>
      <c r="AE6" s="79">
        <f>E6*2+G6*2+I6*2+K6*2+O6*3+Q6*2+S6*2+U6*2+W6*3+Y6*2+AA6*2+AC6*2+M6</f>
        <v>9</v>
      </c>
      <c r="AF6" s="8"/>
      <c r="AG6" s="8"/>
    </row>
    <row r="7" spans="2:33" ht="25.35" customHeight="1">
      <c r="B7" s="565"/>
      <c r="C7" s="43" t="s">
        <v>139</v>
      </c>
      <c r="D7" s="103"/>
      <c r="E7" s="104"/>
      <c r="F7" s="103"/>
      <c r="G7" s="104"/>
      <c r="H7" s="103"/>
      <c r="I7" s="104"/>
      <c r="J7" s="103"/>
      <c r="K7" s="104"/>
      <c r="L7" s="103"/>
      <c r="M7" s="190"/>
      <c r="N7" s="129"/>
      <c r="O7" s="130"/>
      <c r="P7" s="129"/>
      <c r="Q7" s="130"/>
      <c r="R7" s="129"/>
      <c r="S7" s="130">
        <v>2</v>
      </c>
      <c r="T7" s="129"/>
      <c r="U7" s="130"/>
      <c r="V7" s="155"/>
      <c r="W7" s="156"/>
      <c r="X7" s="155"/>
      <c r="Y7" s="156"/>
      <c r="Z7" s="155"/>
      <c r="AA7" s="156"/>
      <c r="AB7" s="155"/>
      <c r="AC7" s="156"/>
      <c r="AD7" s="79">
        <f t="shared" ref="AD7:AD12" si="0">D7*3+F7*2+H7*2+J7*2+N7*3+P7*2+R7*2+T7*2+V7*3+X7*2+Z7*2+AB7*2</f>
        <v>0</v>
      </c>
      <c r="AE7" s="79">
        <v>2</v>
      </c>
      <c r="AF7" s="8"/>
      <c r="AG7" s="8"/>
    </row>
    <row r="8" spans="2:33" ht="25.35" customHeight="1">
      <c r="B8" s="565"/>
      <c r="C8" s="43" t="s">
        <v>77</v>
      </c>
      <c r="D8" s="103"/>
      <c r="E8" s="104"/>
      <c r="F8" s="103"/>
      <c r="G8" s="104"/>
      <c r="H8" s="103"/>
      <c r="I8" s="104"/>
      <c r="J8" s="103"/>
      <c r="K8" s="104"/>
      <c r="L8" s="103"/>
      <c r="M8" s="190"/>
      <c r="N8" s="129"/>
      <c r="O8" s="130"/>
      <c r="P8" s="129"/>
      <c r="Q8" s="130"/>
      <c r="R8" s="129"/>
      <c r="S8" s="130"/>
      <c r="T8" s="129"/>
      <c r="U8" s="130"/>
      <c r="V8" s="155">
        <v>1</v>
      </c>
      <c r="W8" s="156">
        <v>1</v>
      </c>
      <c r="X8" s="155">
        <v>1</v>
      </c>
      <c r="Y8" s="156">
        <v>1</v>
      </c>
      <c r="Z8" s="155">
        <v>1</v>
      </c>
      <c r="AA8" s="156">
        <v>1</v>
      </c>
      <c r="AB8" s="155">
        <v>1</v>
      </c>
      <c r="AC8" s="156">
        <v>1</v>
      </c>
      <c r="AD8" s="79">
        <f t="shared" si="0"/>
        <v>9</v>
      </c>
      <c r="AE8" s="79">
        <f>E8*3+G8*2+I8*2+K8*2+O8*3+Q8*2+S8*2+U8*2+W8*3+Y8*2+AA8*2+AC8*2</f>
        <v>9</v>
      </c>
      <c r="AF8" s="8"/>
      <c r="AG8" s="8"/>
    </row>
    <row r="9" spans="2:33" ht="25.35" customHeight="1">
      <c r="B9" s="565"/>
      <c r="C9" s="43" t="s">
        <v>140</v>
      </c>
      <c r="D9" s="103"/>
      <c r="E9" s="104"/>
      <c r="F9" s="103"/>
      <c r="G9" s="104"/>
      <c r="H9" s="103"/>
      <c r="I9" s="104"/>
      <c r="J9" s="103"/>
      <c r="K9" s="104"/>
      <c r="L9" s="103"/>
      <c r="M9" s="190"/>
      <c r="N9" s="129"/>
      <c r="O9" s="130"/>
      <c r="P9" s="129"/>
      <c r="Q9" s="130">
        <v>2</v>
      </c>
      <c r="R9" s="129"/>
      <c r="S9" s="130"/>
      <c r="T9" s="129"/>
      <c r="U9" s="130">
        <v>2</v>
      </c>
      <c r="V9" s="155"/>
      <c r="W9" s="156"/>
      <c r="X9" s="155"/>
      <c r="Y9" s="156"/>
      <c r="Z9" s="155"/>
      <c r="AA9" s="156"/>
      <c r="AB9" s="155"/>
      <c r="AC9" s="156"/>
      <c r="AD9" s="79">
        <f t="shared" si="0"/>
        <v>0</v>
      </c>
      <c r="AE9" s="79">
        <v>2</v>
      </c>
      <c r="AF9" s="8"/>
      <c r="AG9" s="8"/>
    </row>
    <row r="10" spans="2:33" ht="25.35" customHeight="1" thickBot="1">
      <c r="B10" s="565"/>
      <c r="C10" s="42" t="s">
        <v>73</v>
      </c>
      <c r="D10" s="105"/>
      <c r="E10" s="106"/>
      <c r="F10" s="105"/>
      <c r="G10" s="106"/>
      <c r="H10" s="105"/>
      <c r="I10" s="106"/>
      <c r="J10" s="105"/>
      <c r="K10" s="106"/>
      <c r="L10" s="105"/>
      <c r="M10" s="193"/>
      <c r="N10" s="131">
        <v>1</v>
      </c>
      <c r="O10" s="132">
        <v>1</v>
      </c>
      <c r="P10" s="131">
        <v>1</v>
      </c>
      <c r="Q10" s="132">
        <v>1</v>
      </c>
      <c r="R10" s="151">
        <v>1</v>
      </c>
      <c r="S10" s="152">
        <v>1</v>
      </c>
      <c r="T10" s="131">
        <v>1</v>
      </c>
      <c r="U10" s="132">
        <v>1</v>
      </c>
      <c r="V10" s="157"/>
      <c r="W10" s="158"/>
      <c r="X10" s="157"/>
      <c r="Y10" s="158"/>
      <c r="Z10" s="157"/>
      <c r="AA10" s="158"/>
      <c r="AB10" s="157"/>
      <c r="AC10" s="158"/>
      <c r="AD10" s="81">
        <f t="shared" si="0"/>
        <v>9</v>
      </c>
      <c r="AE10" s="81">
        <f>E10*3+G10*2+I10*2+K10*2+O10*3+Q10*2+S10*2+U10*2+W10*3+Y10*2+AA10*2+AC10*2</f>
        <v>9</v>
      </c>
      <c r="AF10" s="8"/>
      <c r="AG10" s="8"/>
    </row>
    <row r="11" spans="2:33" ht="25.35" customHeight="1" thickTop="1">
      <c r="B11" s="566"/>
      <c r="C11" s="12" t="s">
        <v>12</v>
      </c>
      <c r="D11" s="107"/>
      <c r="E11" s="108"/>
      <c r="F11" s="107"/>
      <c r="G11" s="108"/>
      <c r="H11" s="107"/>
      <c r="I11" s="108"/>
      <c r="J11" s="107"/>
      <c r="K11" s="108"/>
      <c r="L11" s="107"/>
      <c r="M11" s="194"/>
      <c r="N11" s="133">
        <v>1</v>
      </c>
      <c r="O11" s="134">
        <v>1</v>
      </c>
      <c r="P11" s="133">
        <v>1</v>
      </c>
      <c r="Q11" s="134">
        <v>1</v>
      </c>
      <c r="R11" s="133">
        <v>1</v>
      </c>
      <c r="S11" s="134">
        <v>1</v>
      </c>
      <c r="T11" s="133">
        <v>1</v>
      </c>
      <c r="U11" s="134">
        <v>1</v>
      </c>
      <c r="V11" s="159"/>
      <c r="W11" s="160"/>
      <c r="X11" s="159"/>
      <c r="Y11" s="160"/>
      <c r="Z11" s="159"/>
      <c r="AA11" s="160"/>
      <c r="AB11" s="159"/>
      <c r="AC11" s="160"/>
      <c r="AD11" s="82">
        <f t="shared" si="0"/>
        <v>9</v>
      </c>
      <c r="AE11" s="82">
        <f>E11*3+G11*2+I11*2+K11*2+O11*3+Q11*2+S11*2+U11*2+W11*3+Y11*2+AA11*2+AC11*2</f>
        <v>9</v>
      </c>
      <c r="AF11" s="96"/>
      <c r="AG11" s="96"/>
    </row>
    <row r="12" spans="2:33" ht="25.35" customHeight="1">
      <c r="B12" s="566"/>
      <c r="C12" s="15" t="s">
        <v>13</v>
      </c>
      <c r="D12" s="103"/>
      <c r="E12" s="104"/>
      <c r="F12" s="103"/>
      <c r="G12" s="104"/>
      <c r="H12" s="103"/>
      <c r="I12" s="104"/>
      <c r="J12" s="103"/>
      <c r="K12" s="104"/>
      <c r="L12" s="103"/>
      <c r="M12" s="190"/>
      <c r="N12" s="129">
        <v>1</v>
      </c>
      <c r="O12" s="130">
        <v>1</v>
      </c>
      <c r="P12" s="129">
        <v>1</v>
      </c>
      <c r="Q12" s="130">
        <v>1</v>
      </c>
      <c r="R12" s="129">
        <v>1</v>
      </c>
      <c r="S12" s="130">
        <v>1</v>
      </c>
      <c r="T12" s="129">
        <v>1</v>
      </c>
      <c r="U12" s="130">
        <v>1</v>
      </c>
      <c r="V12" s="155"/>
      <c r="W12" s="156"/>
      <c r="X12" s="155"/>
      <c r="Y12" s="156"/>
      <c r="Z12" s="155"/>
      <c r="AA12" s="156"/>
      <c r="AB12" s="155"/>
      <c r="AC12" s="156"/>
      <c r="AD12" s="79">
        <f t="shared" si="0"/>
        <v>9</v>
      </c>
      <c r="AE12" s="79">
        <f>E12*3+G12*2+I12*2+K12*2+O12*3+Q12*2+S12*2+U12*2+W12*3+Y12*2+AA12*2+AC12*2</f>
        <v>9</v>
      </c>
      <c r="AF12" s="96"/>
      <c r="AG12" s="96"/>
    </row>
    <row r="13" spans="2:33" ht="25.35" customHeight="1">
      <c r="B13" s="566"/>
      <c r="C13" s="89" t="s">
        <v>148</v>
      </c>
      <c r="D13" s="109"/>
      <c r="E13" s="110"/>
      <c r="F13" s="109"/>
      <c r="G13" s="110"/>
      <c r="H13" s="109"/>
      <c r="I13" s="110"/>
      <c r="J13" s="109"/>
      <c r="K13" s="110"/>
      <c r="L13" s="109"/>
      <c r="M13" s="195"/>
      <c r="N13" s="135"/>
      <c r="O13" s="136"/>
      <c r="P13" s="135"/>
      <c r="Q13" s="136"/>
      <c r="R13" s="135"/>
      <c r="S13" s="136"/>
      <c r="T13" s="135"/>
      <c r="U13" s="136"/>
      <c r="V13" s="161"/>
      <c r="W13" s="162"/>
      <c r="X13" s="161"/>
      <c r="Y13" s="162"/>
      <c r="Z13" s="161"/>
      <c r="AA13" s="162"/>
      <c r="AB13" s="161"/>
      <c r="AC13" s="162"/>
      <c r="AD13" s="81">
        <v>1</v>
      </c>
      <c r="AE13" s="81">
        <v>1</v>
      </c>
      <c r="AF13" s="99"/>
      <c r="AG13" s="96"/>
    </row>
    <row r="14" spans="2:33" ht="25.35" customHeight="1" thickBot="1">
      <c r="B14" s="567"/>
      <c r="C14" s="13" t="s">
        <v>9</v>
      </c>
      <c r="D14" s="111"/>
      <c r="E14" s="112"/>
      <c r="F14" s="111"/>
      <c r="G14" s="112"/>
      <c r="H14" s="111"/>
      <c r="I14" s="112"/>
      <c r="J14" s="111"/>
      <c r="K14" s="112"/>
      <c r="L14" s="111"/>
      <c r="M14" s="196"/>
      <c r="N14" s="137"/>
      <c r="O14" s="138"/>
      <c r="P14" s="137"/>
      <c r="Q14" s="138"/>
      <c r="R14" s="137"/>
      <c r="S14" s="138"/>
      <c r="T14" s="137"/>
      <c r="U14" s="138"/>
      <c r="V14" s="163">
        <v>1</v>
      </c>
      <c r="W14" s="164">
        <v>1</v>
      </c>
      <c r="X14" s="163">
        <v>1</v>
      </c>
      <c r="Y14" s="164">
        <v>1</v>
      </c>
      <c r="Z14" s="163">
        <v>1</v>
      </c>
      <c r="AA14" s="164">
        <v>1</v>
      </c>
      <c r="AB14" s="163">
        <v>1</v>
      </c>
      <c r="AC14" s="164">
        <v>1</v>
      </c>
      <c r="AD14" s="80">
        <f t="shared" ref="AD14:AD25" si="1">D14*3+F14*2+H14*2+J14*2+N14*3+P14*2+R14*2+T14*2+V14*3+X14*2+Z14*2+AB14*2</f>
        <v>9</v>
      </c>
      <c r="AE14" s="80">
        <f t="shared" ref="AE14:AE25" si="2">E14*3+G14*2+I14*2+K14*2+O14*3+Q14*2+S14*2+U14*2+W14*3+Y14*2+AA14*2+AC14*2</f>
        <v>9</v>
      </c>
      <c r="AF14" s="72"/>
      <c r="AG14" s="20"/>
    </row>
    <row r="15" spans="2:33" ht="25.35" customHeight="1" thickTop="1">
      <c r="B15" s="550" t="s">
        <v>4</v>
      </c>
      <c r="C15" s="59" t="s">
        <v>62</v>
      </c>
      <c r="D15" s="101">
        <v>2</v>
      </c>
      <c r="E15" s="102">
        <v>2</v>
      </c>
      <c r="F15" s="101">
        <v>2</v>
      </c>
      <c r="G15" s="102">
        <v>2</v>
      </c>
      <c r="H15" s="101">
        <v>2</v>
      </c>
      <c r="I15" s="102">
        <v>2</v>
      </c>
      <c r="J15" s="101">
        <v>2</v>
      </c>
      <c r="K15" s="102">
        <v>2</v>
      </c>
      <c r="L15" s="101">
        <v>2</v>
      </c>
      <c r="M15" s="192">
        <v>2</v>
      </c>
      <c r="N15" s="128">
        <v>2</v>
      </c>
      <c r="O15" s="139">
        <v>2</v>
      </c>
      <c r="P15" s="128">
        <v>2</v>
      </c>
      <c r="Q15" s="139">
        <v>2</v>
      </c>
      <c r="R15" s="128">
        <v>2</v>
      </c>
      <c r="S15" s="139">
        <v>2</v>
      </c>
      <c r="T15" s="128">
        <v>2</v>
      </c>
      <c r="U15" s="139">
        <v>2</v>
      </c>
      <c r="V15" s="155">
        <v>2</v>
      </c>
      <c r="W15" s="156">
        <v>2</v>
      </c>
      <c r="X15" s="155">
        <v>2</v>
      </c>
      <c r="Y15" s="156">
        <v>2</v>
      </c>
      <c r="Z15" s="155">
        <v>2</v>
      </c>
      <c r="AA15" s="156">
        <v>2</v>
      </c>
      <c r="AB15" s="155">
        <v>2</v>
      </c>
      <c r="AC15" s="156">
        <v>2</v>
      </c>
      <c r="AD15" s="75">
        <f>D15*2+F15*2+H15*2+J15*2+N15*3+P15*2+R15*2+T15*2+V15*3+X15*2+Z15*2+AB15*2+L15</f>
        <v>54</v>
      </c>
      <c r="AE15" s="75">
        <f>E15*2+G15*2+I15*2+K15*2+O15*3+Q15*2+S15*2+U15*2+W15*3+Y15*2+AA15*2+AC15*2+M15</f>
        <v>54</v>
      </c>
      <c r="AF15" s="5">
        <f>SUM(AD15:AD41)</f>
        <v>140</v>
      </c>
      <c r="AG15" s="5">
        <f>SUM(AE15:AE41)</f>
        <v>138</v>
      </c>
    </row>
    <row r="16" spans="2:33" ht="25.35" customHeight="1">
      <c r="B16" s="551"/>
      <c r="C16" s="43" t="s">
        <v>68</v>
      </c>
      <c r="D16" s="103">
        <v>1</v>
      </c>
      <c r="E16" s="104">
        <v>1</v>
      </c>
      <c r="F16" s="103">
        <v>1</v>
      </c>
      <c r="G16" s="104">
        <v>1</v>
      </c>
      <c r="H16" s="103">
        <v>1</v>
      </c>
      <c r="I16" s="104">
        <v>1</v>
      </c>
      <c r="J16" s="103"/>
      <c r="K16" s="104"/>
      <c r="L16" s="103">
        <v>1</v>
      </c>
      <c r="M16" s="190">
        <v>1</v>
      </c>
      <c r="N16" s="129"/>
      <c r="O16" s="130"/>
      <c r="P16" s="129"/>
      <c r="Q16" s="130"/>
      <c r="R16" s="129"/>
      <c r="S16" s="130"/>
      <c r="T16" s="129"/>
      <c r="U16" s="130"/>
      <c r="V16" s="155"/>
      <c r="W16" s="156"/>
      <c r="X16" s="155"/>
      <c r="Y16" s="156"/>
      <c r="Z16" s="155"/>
      <c r="AA16" s="156"/>
      <c r="AB16" s="155"/>
      <c r="AC16" s="156"/>
      <c r="AD16" s="79">
        <f>D16*2+F16*2+H16*2+J16*2+N16*3+P16*2+R16*2+T16*2+V16*3+X16*2+Z16*2+AB16*2+L16</f>
        <v>7</v>
      </c>
      <c r="AE16" s="79">
        <f>E16*2+G16*2+I16*2+K16*2+O16*3+Q16*2+S16*2+U16*2+W16*3+Y16*2+AA16*2+AC16*2+M16</f>
        <v>7</v>
      </c>
      <c r="AF16" s="96"/>
      <c r="AG16" s="8"/>
    </row>
    <row r="17" spans="1:35" ht="25.35" customHeight="1">
      <c r="B17" s="551"/>
      <c r="C17" s="43" t="s">
        <v>59</v>
      </c>
      <c r="D17" s="103"/>
      <c r="E17" s="104"/>
      <c r="F17" s="103"/>
      <c r="G17" s="104"/>
      <c r="H17" s="103"/>
      <c r="I17" s="104"/>
      <c r="J17" s="103">
        <v>2</v>
      </c>
      <c r="K17" s="104">
        <v>2</v>
      </c>
      <c r="L17" s="103"/>
      <c r="M17" s="190"/>
      <c r="N17" s="129"/>
      <c r="O17" s="130"/>
      <c r="P17" s="129"/>
      <c r="Q17" s="130"/>
      <c r="R17" s="129"/>
      <c r="S17" s="130"/>
      <c r="T17" s="129"/>
      <c r="U17" s="130"/>
      <c r="V17" s="155"/>
      <c r="W17" s="156"/>
      <c r="X17" s="155"/>
      <c r="Y17" s="156"/>
      <c r="Z17" s="155"/>
      <c r="AA17" s="156"/>
      <c r="AB17" s="155"/>
      <c r="AC17" s="156"/>
      <c r="AD17" s="79">
        <f t="shared" si="1"/>
        <v>4</v>
      </c>
      <c r="AE17" s="79">
        <f t="shared" si="2"/>
        <v>4</v>
      </c>
      <c r="AF17" s="96"/>
      <c r="AG17" s="8"/>
    </row>
    <row r="18" spans="1:35" ht="25.35" customHeight="1">
      <c r="B18" s="551"/>
      <c r="C18" s="43" t="s">
        <v>60</v>
      </c>
      <c r="D18" s="103"/>
      <c r="E18" s="104"/>
      <c r="F18" s="103"/>
      <c r="G18" s="104"/>
      <c r="H18" s="103"/>
      <c r="I18" s="104"/>
      <c r="J18" s="103">
        <v>2</v>
      </c>
      <c r="K18" s="104">
        <v>2</v>
      </c>
      <c r="L18" s="103"/>
      <c r="M18" s="190"/>
      <c r="N18" s="129"/>
      <c r="O18" s="130"/>
      <c r="P18" s="129"/>
      <c r="Q18" s="130"/>
      <c r="R18" s="129"/>
      <c r="S18" s="130"/>
      <c r="T18" s="129"/>
      <c r="U18" s="130"/>
      <c r="V18" s="155"/>
      <c r="W18" s="156"/>
      <c r="X18" s="155"/>
      <c r="Y18" s="156"/>
      <c r="Z18" s="155"/>
      <c r="AA18" s="156"/>
      <c r="AB18" s="155"/>
      <c r="AC18" s="156"/>
      <c r="AD18" s="79">
        <f t="shared" si="1"/>
        <v>4</v>
      </c>
      <c r="AE18" s="79">
        <f t="shared" si="2"/>
        <v>4</v>
      </c>
      <c r="AF18" s="96"/>
      <c r="AG18" s="8"/>
    </row>
    <row r="19" spans="1:35" ht="25.35" customHeight="1">
      <c r="B19" s="551"/>
      <c r="C19" s="43" t="s">
        <v>80</v>
      </c>
      <c r="D19" s="103"/>
      <c r="E19" s="104"/>
      <c r="F19" s="103"/>
      <c r="G19" s="104"/>
      <c r="H19" s="103"/>
      <c r="I19" s="104"/>
      <c r="J19" s="103"/>
      <c r="K19" s="104"/>
      <c r="L19" s="103"/>
      <c r="M19" s="190"/>
      <c r="N19" s="129"/>
      <c r="O19" s="130"/>
      <c r="P19" s="129"/>
      <c r="Q19" s="130"/>
      <c r="R19" s="129"/>
      <c r="S19" s="130"/>
      <c r="T19" s="129">
        <v>2</v>
      </c>
      <c r="U19" s="130">
        <v>2</v>
      </c>
      <c r="V19" s="155"/>
      <c r="W19" s="156"/>
      <c r="X19" s="155"/>
      <c r="Y19" s="156"/>
      <c r="Z19" s="155"/>
      <c r="AA19" s="156"/>
      <c r="AB19" s="155"/>
      <c r="AC19" s="156"/>
      <c r="AD19" s="79">
        <f t="shared" si="1"/>
        <v>4</v>
      </c>
      <c r="AE19" s="79">
        <f t="shared" si="2"/>
        <v>4</v>
      </c>
      <c r="AF19" s="96"/>
      <c r="AG19" s="8"/>
    </row>
    <row r="20" spans="1:35" ht="25.35" customHeight="1">
      <c r="B20" s="551"/>
      <c r="C20" s="43" t="s">
        <v>81</v>
      </c>
      <c r="D20" s="103"/>
      <c r="E20" s="104"/>
      <c r="F20" s="103"/>
      <c r="G20" s="104"/>
      <c r="H20" s="103"/>
      <c r="I20" s="104"/>
      <c r="J20" s="103"/>
      <c r="K20" s="104"/>
      <c r="L20" s="103"/>
      <c r="M20" s="190"/>
      <c r="N20" s="129"/>
      <c r="O20" s="130"/>
      <c r="P20" s="129"/>
      <c r="Q20" s="130"/>
      <c r="R20" s="129"/>
      <c r="S20" s="130"/>
      <c r="T20" s="129">
        <v>2</v>
      </c>
      <c r="U20" s="130">
        <v>2</v>
      </c>
      <c r="V20" s="155"/>
      <c r="W20" s="156"/>
      <c r="X20" s="155"/>
      <c r="Y20" s="156"/>
      <c r="Z20" s="155"/>
      <c r="AA20" s="156"/>
      <c r="AB20" s="155"/>
      <c r="AC20" s="156"/>
      <c r="AD20" s="79">
        <f t="shared" si="1"/>
        <v>4</v>
      </c>
      <c r="AE20" s="79">
        <f t="shared" si="2"/>
        <v>4</v>
      </c>
      <c r="AF20" s="96"/>
      <c r="AG20" s="8"/>
    </row>
    <row r="21" spans="1:35" ht="25.35" customHeight="1">
      <c r="B21" s="551"/>
      <c r="C21" s="43" t="s">
        <v>97</v>
      </c>
      <c r="D21" s="103"/>
      <c r="E21" s="104"/>
      <c r="F21" s="103"/>
      <c r="G21" s="104"/>
      <c r="H21" s="103"/>
      <c r="I21" s="104"/>
      <c r="J21" s="103"/>
      <c r="K21" s="104"/>
      <c r="L21" s="103"/>
      <c r="M21" s="190"/>
      <c r="N21" s="129"/>
      <c r="O21" s="130"/>
      <c r="P21" s="129"/>
      <c r="Q21" s="130"/>
      <c r="R21" s="129"/>
      <c r="S21" s="130"/>
      <c r="T21" s="129"/>
      <c r="U21" s="130"/>
      <c r="V21" s="155"/>
      <c r="W21" s="156"/>
      <c r="X21" s="155"/>
      <c r="Y21" s="156"/>
      <c r="Z21" s="155"/>
      <c r="AA21" s="156"/>
      <c r="AB21" s="175">
        <v>2</v>
      </c>
      <c r="AC21" s="176">
        <v>2</v>
      </c>
      <c r="AD21" s="79">
        <f t="shared" si="1"/>
        <v>4</v>
      </c>
      <c r="AE21" s="79">
        <f t="shared" si="2"/>
        <v>4</v>
      </c>
      <c r="AF21" s="96"/>
      <c r="AG21" s="8"/>
    </row>
    <row r="22" spans="1:35" ht="25.35" customHeight="1">
      <c r="B22" s="551"/>
      <c r="C22" s="90" t="s">
        <v>98</v>
      </c>
      <c r="D22" s="103"/>
      <c r="E22" s="104"/>
      <c r="F22" s="103"/>
      <c r="G22" s="104"/>
      <c r="H22" s="103"/>
      <c r="I22" s="104"/>
      <c r="J22" s="103"/>
      <c r="K22" s="104"/>
      <c r="L22" s="103"/>
      <c r="M22" s="190"/>
      <c r="N22" s="129"/>
      <c r="O22" s="130"/>
      <c r="P22" s="129"/>
      <c r="Q22" s="130"/>
      <c r="R22" s="129"/>
      <c r="S22" s="130"/>
      <c r="T22" s="129"/>
      <c r="U22" s="130"/>
      <c r="V22" s="155"/>
      <c r="W22" s="156"/>
      <c r="X22" s="155"/>
      <c r="Y22" s="156"/>
      <c r="Z22" s="155"/>
      <c r="AA22" s="156"/>
      <c r="AB22" s="175">
        <v>2</v>
      </c>
      <c r="AC22" s="176">
        <v>2</v>
      </c>
      <c r="AD22" s="79">
        <f t="shared" si="1"/>
        <v>4</v>
      </c>
      <c r="AE22" s="79">
        <f t="shared" si="2"/>
        <v>4</v>
      </c>
      <c r="AF22" s="96"/>
      <c r="AG22" s="8"/>
    </row>
    <row r="23" spans="1:35" ht="25.35" customHeight="1">
      <c r="B23" s="551"/>
      <c r="C23" s="15" t="s">
        <v>14</v>
      </c>
      <c r="D23" s="103"/>
      <c r="E23" s="104"/>
      <c r="F23" s="103"/>
      <c r="G23" s="104"/>
      <c r="H23" s="103"/>
      <c r="I23" s="104"/>
      <c r="J23" s="103"/>
      <c r="K23" s="104"/>
      <c r="L23" s="103"/>
      <c r="M23" s="190"/>
      <c r="N23" s="129">
        <v>2</v>
      </c>
      <c r="O23" s="130">
        <v>2</v>
      </c>
      <c r="P23" s="129">
        <v>2</v>
      </c>
      <c r="Q23" s="130">
        <v>2</v>
      </c>
      <c r="R23" s="129">
        <v>2</v>
      </c>
      <c r="S23" s="130">
        <v>2</v>
      </c>
      <c r="T23" s="129"/>
      <c r="U23" s="130"/>
      <c r="V23" s="155"/>
      <c r="W23" s="156"/>
      <c r="X23" s="155"/>
      <c r="Y23" s="156"/>
      <c r="Z23" s="155"/>
      <c r="AA23" s="156"/>
      <c r="AB23" s="155"/>
      <c r="AC23" s="156"/>
      <c r="AD23" s="79">
        <f t="shared" si="1"/>
        <v>14</v>
      </c>
      <c r="AE23" s="79">
        <f t="shared" si="2"/>
        <v>14</v>
      </c>
      <c r="AF23" s="96"/>
      <c r="AG23" s="8"/>
    </row>
    <row r="24" spans="1:35" ht="25.35" customHeight="1">
      <c r="B24" s="551"/>
      <c r="C24" s="43" t="s">
        <v>67</v>
      </c>
      <c r="D24" s="103"/>
      <c r="E24" s="104"/>
      <c r="F24" s="103"/>
      <c r="G24" s="104"/>
      <c r="H24" s="103"/>
      <c r="I24" s="104"/>
      <c r="J24" s="103"/>
      <c r="K24" s="104"/>
      <c r="L24" s="103"/>
      <c r="M24" s="190"/>
      <c r="N24" s="129"/>
      <c r="O24" s="130"/>
      <c r="P24" s="129"/>
      <c r="Q24" s="130"/>
      <c r="R24" s="129"/>
      <c r="S24" s="130"/>
      <c r="T24" s="129"/>
      <c r="U24" s="130"/>
      <c r="V24" s="155"/>
      <c r="W24" s="156"/>
      <c r="X24" s="155"/>
      <c r="Y24" s="156"/>
      <c r="Z24" s="155"/>
      <c r="AA24" s="156"/>
      <c r="AB24" s="155">
        <v>2</v>
      </c>
      <c r="AC24" s="156"/>
      <c r="AD24" s="79">
        <f t="shared" si="1"/>
        <v>4</v>
      </c>
      <c r="AE24" s="79">
        <f t="shared" si="2"/>
        <v>0</v>
      </c>
      <c r="AF24" s="96"/>
      <c r="AG24" s="8"/>
    </row>
    <row r="25" spans="1:35" ht="25.35" customHeight="1">
      <c r="B25" s="551"/>
      <c r="C25" s="43" t="s">
        <v>84</v>
      </c>
      <c r="D25" s="103"/>
      <c r="E25" s="104"/>
      <c r="F25" s="103"/>
      <c r="G25" s="104"/>
      <c r="H25" s="103"/>
      <c r="I25" s="104"/>
      <c r="J25" s="103"/>
      <c r="K25" s="104"/>
      <c r="L25" s="103"/>
      <c r="M25" s="190"/>
      <c r="N25" s="129"/>
      <c r="O25" s="130"/>
      <c r="P25" s="129"/>
      <c r="Q25" s="130"/>
      <c r="R25" s="129"/>
      <c r="S25" s="130"/>
      <c r="T25" s="129">
        <v>1</v>
      </c>
      <c r="U25" s="130"/>
      <c r="V25" s="155"/>
      <c r="W25" s="156"/>
      <c r="X25" s="155"/>
      <c r="Y25" s="156"/>
      <c r="Z25" s="155"/>
      <c r="AA25" s="156"/>
      <c r="AB25" s="155"/>
      <c r="AC25" s="156"/>
      <c r="AD25" s="79">
        <f t="shared" si="1"/>
        <v>2</v>
      </c>
      <c r="AE25" s="79">
        <f t="shared" si="2"/>
        <v>0</v>
      </c>
      <c r="AF25" s="96"/>
      <c r="AG25" s="8"/>
    </row>
    <row r="26" spans="1:35" ht="25.35" customHeight="1">
      <c r="B26" s="551"/>
      <c r="C26" s="77" t="s">
        <v>128</v>
      </c>
      <c r="D26" s="103"/>
      <c r="E26" s="104"/>
      <c r="F26" s="103"/>
      <c r="G26" s="104"/>
      <c r="H26" s="103"/>
      <c r="I26" s="104"/>
      <c r="J26" s="103"/>
      <c r="K26" s="104"/>
      <c r="L26" s="103"/>
      <c r="M26" s="190"/>
      <c r="N26" s="129"/>
      <c r="O26" s="130"/>
      <c r="P26" s="129"/>
      <c r="Q26" s="130">
        <v>2</v>
      </c>
      <c r="R26" s="129"/>
      <c r="S26" s="130"/>
      <c r="T26" s="129"/>
      <c r="U26" s="130">
        <v>2</v>
      </c>
      <c r="V26" s="155"/>
      <c r="W26" s="156"/>
      <c r="X26" s="155"/>
      <c r="Y26" s="156"/>
      <c r="Z26" s="155"/>
      <c r="AA26" s="156"/>
      <c r="AB26" s="155"/>
      <c r="AC26" s="156"/>
      <c r="AD26" s="79">
        <f>D26*3+F26*2+H26*2+J26*2+N26*3+P26*2+R26*2+T26*2+V26*3+X26*2+Z26*2+AB26*2</f>
        <v>0</v>
      </c>
      <c r="AE26" s="79">
        <v>2</v>
      </c>
      <c r="AF26" s="96"/>
      <c r="AG26" s="8"/>
    </row>
    <row r="27" spans="1:35" ht="25.35" customHeight="1">
      <c r="B27" s="551"/>
      <c r="C27" s="77" t="s">
        <v>132</v>
      </c>
      <c r="D27" s="103"/>
      <c r="E27" s="104"/>
      <c r="F27" s="103"/>
      <c r="G27" s="104"/>
      <c r="H27" s="103"/>
      <c r="I27" s="104"/>
      <c r="J27" s="103"/>
      <c r="K27" s="104"/>
      <c r="L27" s="103"/>
      <c r="M27" s="190"/>
      <c r="N27" s="129"/>
      <c r="O27" s="130"/>
      <c r="P27" s="129"/>
      <c r="Q27" s="130"/>
      <c r="R27" s="129"/>
      <c r="S27" s="130"/>
      <c r="T27" s="129"/>
      <c r="U27" s="130">
        <v>2</v>
      </c>
      <c r="V27" s="155"/>
      <c r="W27" s="156"/>
      <c r="X27" s="155"/>
      <c r="Y27" s="156"/>
      <c r="Z27" s="155"/>
      <c r="AA27" s="156"/>
      <c r="AB27" s="155"/>
      <c r="AC27" s="156"/>
      <c r="AD27" s="79">
        <v>0</v>
      </c>
      <c r="AE27" s="79">
        <v>2</v>
      </c>
      <c r="AF27" s="96"/>
      <c r="AG27" s="8"/>
    </row>
    <row r="28" spans="1:35" ht="25.35" customHeight="1">
      <c r="B28" s="551"/>
      <c r="C28" s="77" t="s">
        <v>133</v>
      </c>
      <c r="D28" s="103"/>
      <c r="E28" s="104"/>
      <c r="F28" s="103"/>
      <c r="G28" s="104"/>
      <c r="H28" s="103"/>
      <c r="I28" s="104"/>
      <c r="J28" s="103"/>
      <c r="K28" s="104"/>
      <c r="L28" s="103"/>
      <c r="M28" s="190"/>
      <c r="N28" s="129"/>
      <c r="O28" s="130"/>
      <c r="P28" s="129"/>
      <c r="Q28" s="130"/>
      <c r="R28" s="129"/>
      <c r="S28" s="130"/>
      <c r="T28" s="129"/>
      <c r="U28" s="130">
        <v>2</v>
      </c>
      <c r="V28" s="155"/>
      <c r="W28" s="156"/>
      <c r="X28" s="155"/>
      <c r="Y28" s="156"/>
      <c r="Z28" s="155"/>
      <c r="AA28" s="156"/>
      <c r="AB28" s="155"/>
      <c r="AC28" s="156"/>
      <c r="AD28" s="79">
        <v>0</v>
      </c>
      <c r="AE28" s="79">
        <v>2</v>
      </c>
      <c r="AF28" s="96"/>
      <c r="AG28" s="8"/>
    </row>
    <row r="29" spans="1:35" ht="25.35" customHeight="1">
      <c r="B29" s="551"/>
      <c r="C29" s="77" t="s">
        <v>129</v>
      </c>
      <c r="D29" s="103"/>
      <c r="E29" s="104"/>
      <c r="F29" s="103"/>
      <c r="G29" s="104"/>
      <c r="H29" s="103"/>
      <c r="I29" s="104"/>
      <c r="J29" s="103"/>
      <c r="K29" s="104"/>
      <c r="L29" s="103"/>
      <c r="M29" s="190"/>
      <c r="N29" s="129"/>
      <c r="O29" s="130"/>
      <c r="P29" s="129"/>
      <c r="Q29" s="130"/>
      <c r="R29" s="129"/>
      <c r="S29" s="130"/>
      <c r="T29" s="129">
        <v>2</v>
      </c>
      <c r="U29" s="130"/>
      <c r="V29" s="155"/>
      <c r="W29" s="156"/>
      <c r="X29" s="155"/>
      <c r="Y29" s="156"/>
      <c r="Z29" s="155"/>
      <c r="AA29" s="156"/>
      <c r="AB29" s="155"/>
      <c r="AC29" s="156"/>
      <c r="AD29" s="79">
        <v>2</v>
      </c>
      <c r="AE29" s="79">
        <f>E29*3+G29*2+I29*2+K29*2+O29*3+Q29*2+S29*2+U29*2+W29*3+Y29*2+AA29*2+AC29*2</f>
        <v>0</v>
      </c>
      <c r="AF29" s="96"/>
      <c r="AG29" s="8"/>
    </row>
    <row r="30" spans="1:35" ht="25.35" customHeight="1">
      <c r="B30" s="551"/>
      <c r="C30" s="77" t="s">
        <v>131</v>
      </c>
      <c r="D30" s="103"/>
      <c r="E30" s="104"/>
      <c r="F30" s="103"/>
      <c r="G30" s="104"/>
      <c r="H30" s="103"/>
      <c r="I30" s="104"/>
      <c r="J30" s="103"/>
      <c r="K30" s="104"/>
      <c r="L30" s="103"/>
      <c r="M30" s="190"/>
      <c r="N30" s="129"/>
      <c r="O30" s="130"/>
      <c r="P30" s="129"/>
      <c r="Q30" s="130"/>
      <c r="R30" s="129"/>
      <c r="S30" s="130"/>
      <c r="T30" s="129">
        <v>2</v>
      </c>
      <c r="U30" s="130"/>
      <c r="V30" s="155"/>
      <c r="W30" s="156"/>
      <c r="X30" s="155"/>
      <c r="Y30" s="156"/>
      <c r="Z30" s="155"/>
      <c r="AA30" s="156"/>
      <c r="AB30" s="155"/>
      <c r="AC30" s="156"/>
      <c r="AD30" s="79">
        <v>2</v>
      </c>
      <c r="AE30" s="79">
        <v>0</v>
      </c>
      <c r="AF30" s="96"/>
      <c r="AG30" s="8"/>
    </row>
    <row r="31" spans="1:35" s="182" customFormat="1" ht="25.35" customHeight="1">
      <c r="A31" s="100"/>
      <c r="B31" s="551"/>
      <c r="C31" s="77" t="s">
        <v>130</v>
      </c>
      <c r="D31" s="103"/>
      <c r="E31" s="104"/>
      <c r="F31" s="103"/>
      <c r="G31" s="104"/>
      <c r="H31" s="103"/>
      <c r="I31" s="104"/>
      <c r="J31" s="103"/>
      <c r="K31" s="104"/>
      <c r="L31" s="103"/>
      <c r="M31" s="190"/>
      <c r="N31" s="129"/>
      <c r="O31" s="130"/>
      <c r="P31" s="129"/>
      <c r="Q31" s="130"/>
      <c r="R31" s="129"/>
      <c r="S31" s="130"/>
      <c r="T31" s="129">
        <v>2</v>
      </c>
      <c r="U31" s="130"/>
      <c r="V31" s="155"/>
      <c r="W31" s="156"/>
      <c r="X31" s="155"/>
      <c r="Y31" s="156"/>
      <c r="Z31" s="155"/>
      <c r="AA31" s="156"/>
      <c r="AB31" s="155"/>
      <c r="AC31" s="156"/>
      <c r="AD31" s="79">
        <v>2</v>
      </c>
      <c r="AE31" s="79">
        <f>E31*3+G31*2+I31*2+K31*2+O31*3+Q31*2+S31*2+U31*2+W31*3+Y31*2+AA31*2+AC31*2</f>
        <v>0</v>
      </c>
      <c r="AF31" s="96"/>
      <c r="AG31" s="96"/>
      <c r="AH31" s="1"/>
      <c r="AI31" s="1"/>
    </row>
    <row r="32" spans="1:35" ht="25.35" customHeight="1">
      <c r="B32" s="551"/>
      <c r="C32" s="77" t="s">
        <v>144</v>
      </c>
      <c r="D32" s="103"/>
      <c r="E32" s="104"/>
      <c r="F32" s="103"/>
      <c r="G32" s="104"/>
      <c r="H32" s="103"/>
      <c r="I32" s="104"/>
      <c r="J32" s="103"/>
      <c r="K32" s="104"/>
      <c r="L32" s="103"/>
      <c r="M32" s="190"/>
      <c r="N32" s="129"/>
      <c r="O32" s="130"/>
      <c r="P32" s="129"/>
      <c r="Q32" s="130"/>
      <c r="R32" s="129"/>
      <c r="S32" s="130"/>
      <c r="T32" s="129"/>
      <c r="U32" s="130">
        <v>0</v>
      </c>
      <c r="V32" s="155"/>
      <c r="W32" s="156"/>
      <c r="X32" s="155"/>
      <c r="Y32" s="156"/>
      <c r="Z32" s="155"/>
      <c r="AA32" s="156"/>
      <c r="AB32" s="155"/>
      <c r="AC32" s="156"/>
      <c r="AD32" s="79">
        <f>D32*3+F32*2+H32*2+J32*2+N32*3+P32*2+R32*2+T32*2+V32*3+X32*2+Z32*2+AB32*2</f>
        <v>0</v>
      </c>
      <c r="AE32" s="79">
        <v>2</v>
      </c>
      <c r="AF32" s="96"/>
      <c r="AG32" s="8"/>
    </row>
    <row r="33" spans="2:33" ht="25.35" customHeight="1">
      <c r="B33" s="551"/>
      <c r="C33" s="15" t="s">
        <v>15</v>
      </c>
      <c r="D33" s="103"/>
      <c r="E33" s="104"/>
      <c r="F33" s="103"/>
      <c r="G33" s="104"/>
      <c r="H33" s="103"/>
      <c r="I33" s="104"/>
      <c r="J33" s="103"/>
      <c r="K33" s="104"/>
      <c r="L33" s="103"/>
      <c r="M33" s="190"/>
      <c r="N33" s="129"/>
      <c r="O33" s="130"/>
      <c r="P33" s="129"/>
      <c r="Q33" s="130"/>
      <c r="R33" s="129"/>
      <c r="S33" s="130"/>
      <c r="T33" s="129"/>
      <c r="U33" s="130"/>
      <c r="V33" s="155">
        <v>2</v>
      </c>
      <c r="W33" s="156">
        <v>2</v>
      </c>
      <c r="X33" s="155">
        <v>2</v>
      </c>
      <c r="Y33" s="156">
        <v>2</v>
      </c>
      <c r="Z33" s="155">
        <v>2</v>
      </c>
      <c r="AA33" s="156">
        <v>2</v>
      </c>
      <c r="AB33" s="155"/>
      <c r="AC33" s="156"/>
      <c r="AD33" s="79">
        <f>D33*3+F33*2+H33*2+J33*2+N33*3+P33*2+R33*2+T33*2+V33*3+X33*2+Z33*2+AB33*2</f>
        <v>14</v>
      </c>
      <c r="AE33" s="79">
        <f>E33*3+G33*2+I33*2+K33*2+O33*3+Q33*2+S33*2+U33*2+W33*3+Y33*2+AA33*2+AC33*2</f>
        <v>14</v>
      </c>
      <c r="AF33" s="96"/>
      <c r="AG33" s="8"/>
    </row>
    <row r="34" spans="2:33" ht="25.35" customHeight="1">
      <c r="B34" s="551"/>
      <c r="C34" s="74" t="s">
        <v>151</v>
      </c>
      <c r="D34" s="109"/>
      <c r="E34" s="110"/>
      <c r="F34" s="109"/>
      <c r="G34" s="110"/>
      <c r="H34" s="109"/>
      <c r="I34" s="110"/>
      <c r="J34" s="109"/>
      <c r="K34" s="110"/>
      <c r="L34" s="103"/>
      <c r="M34" s="195"/>
      <c r="N34" s="135"/>
      <c r="O34" s="136"/>
      <c r="P34" s="135"/>
      <c r="Q34" s="136"/>
      <c r="R34" s="135"/>
      <c r="S34" s="136"/>
      <c r="T34" s="135"/>
      <c r="U34" s="136"/>
      <c r="V34" s="161"/>
      <c r="W34" s="162"/>
      <c r="X34" s="161"/>
      <c r="Y34" s="162"/>
      <c r="Z34" s="161"/>
      <c r="AA34" s="162"/>
      <c r="AB34" s="161"/>
      <c r="AC34" s="162"/>
      <c r="AD34" s="81">
        <v>1</v>
      </c>
      <c r="AE34" s="81">
        <v>1</v>
      </c>
      <c r="AF34" s="96"/>
      <c r="AG34" s="8"/>
    </row>
    <row r="35" spans="2:33" ht="25.35" customHeight="1" thickBot="1">
      <c r="B35" s="552"/>
      <c r="C35" s="42" t="s">
        <v>49</v>
      </c>
      <c r="D35" s="113"/>
      <c r="E35" s="114"/>
      <c r="F35" s="113"/>
      <c r="G35" s="114"/>
      <c r="H35" s="113"/>
      <c r="I35" s="114"/>
      <c r="J35" s="113"/>
      <c r="K35" s="114"/>
      <c r="L35" s="113"/>
      <c r="M35" s="197"/>
      <c r="N35" s="131"/>
      <c r="O35" s="132"/>
      <c r="P35" s="131"/>
      <c r="Q35" s="132"/>
      <c r="R35" s="131"/>
      <c r="S35" s="132"/>
      <c r="T35" s="131">
        <v>1</v>
      </c>
      <c r="U35" s="132"/>
      <c r="V35" s="165"/>
      <c r="W35" s="166"/>
      <c r="X35" s="165"/>
      <c r="Y35" s="166"/>
      <c r="Z35" s="165"/>
      <c r="AA35" s="166"/>
      <c r="AB35" s="165"/>
      <c r="AC35" s="166"/>
      <c r="AD35" s="84">
        <f>D35*3+F35*2+H35*2+J35*2+N35*3+P35*2+R35*2+T35*2+V35*3+X35*2+Z35*2+AB35*2</f>
        <v>2</v>
      </c>
      <c r="AE35" s="84">
        <f>E35*3+G35*2+I35*2+K35*2+O35*3+Q35*2+S35*2+U35*2+W35*3+Y35*2+AA35*2+AC35*2</f>
        <v>0</v>
      </c>
      <c r="AF35" s="96"/>
      <c r="AG35" s="8"/>
    </row>
    <row r="36" spans="2:33" ht="25.35" customHeight="1" thickTop="1">
      <c r="B36" s="552"/>
      <c r="C36" s="78" t="s">
        <v>137</v>
      </c>
      <c r="D36" s="107"/>
      <c r="E36" s="108"/>
      <c r="F36" s="107"/>
      <c r="G36" s="108"/>
      <c r="H36" s="107"/>
      <c r="I36" s="108"/>
      <c r="J36" s="123"/>
      <c r="K36" s="124"/>
      <c r="L36" s="123"/>
      <c r="M36" s="198"/>
      <c r="N36" s="133"/>
      <c r="O36" s="134"/>
      <c r="P36" s="133"/>
      <c r="Q36" s="134"/>
      <c r="R36" s="133"/>
      <c r="S36" s="134"/>
      <c r="T36" s="133"/>
      <c r="U36" s="134"/>
      <c r="V36" s="159"/>
      <c r="W36" s="160"/>
      <c r="X36" s="159"/>
      <c r="Y36" s="160"/>
      <c r="Z36" s="159"/>
      <c r="AA36" s="160"/>
      <c r="AB36" s="177"/>
      <c r="AC36" s="178">
        <v>2</v>
      </c>
      <c r="AD36" s="82">
        <f>AB36*2</f>
        <v>0</v>
      </c>
      <c r="AE36" s="82">
        <v>2</v>
      </c>
      <c r="AF36" s="96"/>
      <c r="AG36" s="8"/>
    </row>
    <row r="37" spans="2:33" ht="25.35" customHeight="1">
      <c r="B37" s="552"/>
      <c r="C37" s="78" t="s">
        <v>145</v>
      </c>
      <c r="D37" s="115"/>
      <c r="E37" s="116"/>
      <c r="F37" s="115"/>
      <c r="G37" s="116"/>
      <c r="H37" s="115"/>
      <c r="I37" s="116"/>
      <c r="J37" s="125"/>
      <c r="K37" s="126"/>
      <c r="L37" s="125"/>
      <c r="M37" s="199"/>
      <c r="N37" s="140"/>
      <c r="O37" s="141"/>
      <c r="P37" s="140"/>
      <c r="Q37" s="141"/>
      <c r="R37" s="140"/>
      <c r="S37" s="141"/>
      <c r="T37" s="140"/>
      <c r="U37" s="141">
        <v>0</v>
      </c>
      <c r="V37" s="167"/>
      <c r="W37" s="168"/>
      <c r="X37" s="167"/>
      <c r="Y37" s="168"/>
      <c r="Z37" s="167"/>
      <c r="AA37" s="168"/>
      <c r="AB37" s="179"/>
      <c r="AC37" s="180"/>
      <c r="AD37" s="83">
        <v>0</v>
      </c>
      <c r="AE37" s="83">
        <v>0</v>
      </c>
      <c r="AF37" s="96"/>
      <c r="AG37" s="8"/>
    </row>
    <row r="38" spans="2:33" ht="25.35" customHeight="1">
      <c r="B38" s="552"/>
      <c r="C38" s="78" t="s">
        <v>138</v>
      </c>
      <c r="D38" s="115"/>
      <c r="E38" s="116"/>
      <c r="F38" s="115"/>
      <c r="G38" s="116"/>
      <c r="H38" s="115"/>
      <c r="I38" s="116"/>
      <c r="J38" s="125"/>
      <c r="K38" s="126"/>
      <c r="L38" s="125"/>
      <c r="M38" s="199"/>
      <c r="N38" s="140"/>
      <c r="O38" s="141"/>
      <c r="P38" s="140"/>
      <c r="Q38" s="141"/>
      <c r="R38" s="140"/>
      <c r="S38" s="141"/>
      <c r="T38" s="140"/>
      <c r="U38" s="141"/>
      <c r="V38" s="167"/>
      <c r="W38" s="168"/>
      <c r="X38" s="167"/>
      <c r="Y38" s="168"/>
      <c r="Z38" s="167"/>
      <c r="AA38" s="168"/>
      <c r="AB38" s="179"/>
      <c r="AC38" s="180">
        <v>2</v>
      </c>
      <c r="AD38" s="79">
        <v>0</v>
      </c>
      <c r="AE38" s="79">
        <v>2</v>
      </c>
      <c r="AF38" s="96"/>
      <c r="AG38" s="8"/>
    </row>
    <row r="39" spans="2:33" ht="25.35" customHeight="1">
      <c r="B39" s="552"/>
      <c r="C39" s="187" t="s">
        <v>82</v>
      </c>
      <c r="D39" s="103"/>
      <c r="E39" s="104"/>
      <c r="F39" s="103"/>
      <c r="G39" s="104"/>
      <c r="H39" s="103"/>
      <c r="I39" s="104"/>
      <c r="J39" s="127"/>
      <c r="K39" s="188"/>
      <c r="L39" s="125"/>
      <c r="M39" s="200"/>
      <c r="N39" s="129"/>
      <c r="O39" s="130"/>
      <c r="P39" s="129"/>
      <c r="Q39" s="130"/>
      <c r="R39" s="129"/>
      <c r="S39" s="130"/>
      <c r="T39" s="129">
        <v>2</v>
      </c>
      <c r="U39" s="130">
        <v>2</v>
      </c>
      <c r="V39" s="155"/>
      <c r="W39" s="156"/>
      <c r="X39" s="155"/>
      <c r="Y39" s="156"/>
      <c r="Z39" s="155"/>
      <c r="AA39" s="156"/>
      <c r="AB39" s="174"/>
      <c r="AC39" s="173"/>
      <c r="AD39" s="79">
        <f>T39*2</f>
        <v>4</v>
      </c>
      <c r="AE39" s="79">
        <f>U39*2</f>
        <v>4</v>
      </c>
      <c r="AF39" s="96"/>
      <c r="AG39" s="8"/>
    </row>
    <row r="40" spans="2:33" ht="25.35" customHeight="1">
      <c r="B40" s="552"/>
      <c r="C40" s="187" t="s">
        <v>91</v>
      </c>
      <c r="D40" s="103"/>
      <c r="E40" s="104"/>
      <c r="F40" s="103"/>
      <c r="G40" s="104"/>
      <c r="H40" s="103"/>
      <c r="I40" s="104"/>
      <c r="J40" s="127">
        <v>2</v>
      </c>
      <c r="K40" s="188">
        <v>2</v>
      </c>
      <c r="L40" s="125"/>
      <c r="M40" s="200"/>
      <c r="N40" s="129"/>
      <c r="O40" s="130"/>
      <c r="P40" s="129"/>
      <c r="Q40" s="130"/>
      <c r="R40" s="129"/>
      <c r="S40" s="130"/>
      <c r="T40" s="129"/>
      <c r="U40" s="130"/>
      <c r="V40" s="155"/>
      <c r="W40" s="156"/>
      <c r="X40" s="155"/>
      <c r="Y40" s="156"/>
      <c r="Z40" s="155"/>
      <c r="AA40" s="156"/>
      <c r="AB40" s="174"/>
      <c r="AC40" s="173"/>
      <c r="AD40" s="79">
        <f t="shared" ref="AD40:AE44" si="3">D40*3+F40*2+H40*2+J40*2+N40*3+P40*2+R40*2+T40*2+V40*3+X40*2+Z40*2+AB40*2</f>
        <v>4</v>
      </c>
      <c r="AE40" s="79">
        <f t="shared" si="3"/>
        <v>4</v>
      </c>
      <c r="AF40" s="96"/>
      <c r="AG40" s="8"/>
    </row>
    <row r="41" spans="2:33" ht="25.35" customHeight="1" thickBot="1">
      <c r="B41" s="600"/>
      <c r="C41" s="60" t="s">
        <v>86</v>
      </c>
      <c r="D41" s="111"/>
      <c r="E41" s="112"/>
      <c r="F41" s="111"/>
      <c r="G41" s="112"/>
      <c r="H41" s="111"/>
      <c r="I41" s="112"/>
      <c r="J41" s="111"/>
      <c r="K41" s="112"/>
      <c r="L41" s="111"/>
      <c r="M41" s="196"/>
      <c r="N41" s="137"/>
      <c r="O41" s="138"/>
      <c r="P41" s="137"/>
      <c r="Q41" s="138"/>
      <c r="R41" s="137"/>
      <c r="S41" s="138"/>
      <c r="T41" s="137"/>
      <c r="U41" s="138"/>
      <c r="V41" s="163"/>
      <c r="W41" s="164"/>
      <c r="X41" s="163"/>
      <c r="Y41" s="164"/>
      <c r="Z41" s="163"/>
      <c r="AA41" s="164"/>
      <c r="AB41" s="163">
        <v>2</v>
      </c>
      <c r="AC41" s="164">
        <v>2</v>
      </c>
      <c r="AD41" s="80">
        <f t="shared" si="3"/>
        <v>4</v>
      </c>
      <c r="AE41" s="80">
        <f t="shared" si="3"/>
        <v>4</v>
      </c>
      <c r="AF41" s="96"/>
      <c r="AG41" s="96"/>
    </row>
    <row r="42" spans="2:33" ht="25.35" customHeight="1" thickTop="1">
      <c r="B42" s="564" t="s">
        <v>21</v>
      </c>
      <c r="C42" s="14" t="s">
        <v>16</v>
      </c>
      <c r="D42" s="101">
        <v>3</v>
      </c>
      <c r="E42" s="102">
        <v>3</v>
      </c>
      <c r="F42" s="101">
        <v>3</v>
      </c>
      <c r="G42" s="102">
        <v>3</v>
      </c>
      <c r="H42" s="101">
        <v>3</v>
      </c>
      <c r="I42" s="102">
        <v>3</v>
      </c>
      <c r="J42" s="101">
        <v>3</v>
      </c>
      <c r="K42" s="102">
        <v>3</v>
      </c>
      <c r="L42" s="101">
        <v>3</v>
      </c>
      <c r="M42" s="102">
        <v>3</v>
      </c>
      <c r="N42" s="128">
        <v>3</v>
      </c>
      <c r="O42" s="139">
        <v>3</v>
      </c>
      <c r="P42" s="128">
        <v>3</v>
      </c>
      <c r="Q42" s="139">
        <v>3</v>
      </c>
      <c r="R42" s="128">
        <v>3</v>
      </c>
      <c r="S42" s="139">
        <v>3</v>
      </c>
      <c r="T42" s="128">
        <v>3</v>
      </c>
      <c r="U42" s="139">
        <v>3</v>
      </c>
      <c r="V42" s="153"/>
      <c r="W42" s="154"/>
      <c r="X42" s="153"/>
      <c r="Y42" s="154"/>
      <c r="Z42" s="153"/>
      <c r="AA42" s="154"/>
      <c r="AB42" s="153"/>
      <c r="AC42" s="154"/>
      <c r="AD42" s="83">
        <f t="shared" si="3"/>
        <v>54</v>
      </c>
      <c r="AE42" s="83">
        <f t="shared" si="3"/>
        <v>54</v>
      </c>
      <c r="AF42" s="5">
        <f>SUM(AD42:AD46)</f>
        <v>82</v>
      </c>
      <c r="AG42" s="5">
        <f>SUM(AE42:AE47)</f>
        <v>86</v>
      </c>
    </row>
    <row r="43" spans="2:33" ht="25.35" customHeight="1">
      <c r="B43" s="565"/>
      <c r="C43" s="43" t="s">
        <v>157</v>
      </c>
      <c r="D43" s="103"/>
      <c r="E43" s="104"/>
      <c r="F43" s="103"/>
      <c r="G43" s="104"/>
      <c r="H43" s="103"/>
      <c r="I43" s="104"/>
      <c r="J43" s="103"/>
      <c r="K43" s="104"/>
      <c r="L43" s="103"/>
      <c r="M43" s="104"/>
      <c r="N43" s="140"/>
      <c r="O43" s="141"/>
      <c r="P43" s="140"/>
      <c r="Q43" s="141"/>
      <c r="R43" s="140"/>
      <c r="S43" s="141"/>
      <c r="T43" s="140"/>
      <c r="U43" s="141"/>
      <c r="V43" s="155"/>
      <c r="W43" s="156"/>
      <c r="X43" s="155"/>
      <c r="Y43" s="156"/>
      <c r="Z43" s="155"/>
      <c r="AA43" s="156"/>
      <c r="AB43" s="155"/>
      <c r="AC43" s="156"/>
      <c r="AD43" s="79">
        <f t="shared" si="3"/>
        <v>0</v>
      </c>
      <c r="AE43" s="79">
        <f t="shared" si="3"/>
        <v>0</v>
      </c>
      <c r="AF43" s="8"/>
      <c r="AG43" s="8"/>
    </row>
    <row r="44" spans="2:33" ht="25.35" customHeight="1">
      <c r="B44" s="565"/>
      <c r="C44" s="43" t="s">
        <v>76</v>
      </c>
      <c r="D44" s="103"/>
      <c r="E44" s="104"/>
      <c r="F44" s="103"/>
      <c r="G44" s="104"/>
      <c r="H44" s="103"/>
      <c r="I44" s="104"/>
      <c r="J44" s="103"/>
      <c r="K44" s="104"/>
      <c r="L44" s="103"/>
      <c r="M44" s="104"/>
      <c r="N44" s="129"/>
      <c r="O44" s="130"/>
      <c r="P44" s="129"/>
      <c r="Q44" s="130"/>
      <c r="R44" s="129"/>
      <c r="S44" s="130"/>
      <c r="T44" s="129"/>
      <c r="U44" s="130"/>
      <c r="V44" s="155">
        <v>3</v>
      </c>
      <c r="W44" s="156">
        <v>3</v>
      </c>
      <c r="X44" s="155">
        <v>3</v>
      </c>
      <c r="Y44" s="156">
        <v>3</v>
      </c>
      <c r="Z44" s="155">
        <v>3</v>
      </c>
      <c r="AA44" s="156">
        <v>3</v>
      </c>
      <c r="AB44" s="155">
        <v>3</v>
      </c>
      <c r="AC44" s="156">
        <v>3</v>
      </c>
      <c r="AD44" s="79">
        <f t="shared" si="3"/>
        <v>27</v>
      </c>
      <c r="AE44" s="79">
        <f t="shared" si="3"/>
        <v>27</v>
      </c>
      <c r="AF44" s="8"/>
      <c r="AG44" s="8"/>
    </row>
    <row r="45" spans="2:33" ht="25.35" customHeight="1">
      <c r="B45" s="565"/>
      <c r="C45" s="43" t="s">
        <v>152</v>
      </c>
      <c r="D45" s="103"/>
      <c r="E45" s="104"/>
      <c r="F45" s="103"/>
      <c r="G45" s="104"/>
      <c r="H45" s="103"/>
      <c r="I45" s="104"/>
      <c r="J45" s="103"/>
      <c r="K45" s="104"/>
      <c r="L45" s="103"/>
      <c r="M45" s="104"/>
      <c r="N45" s="129"/>
      <c r="O45" s="130"/>
      <c r="P45" s="129"/>
      <c r="Q45" s="130"/>
      <c r="R45" s="129"/>
      <c r="S45" s="130"/>
      <c r="T45" s="129"/>
      <c r="U45" s="130"/>
      <c r="V45" s="155"/>
      <c r="W45" s="156"/>
      <c r="X45" s="155"/>
      <c r="Y45" s="156"/>
      <c r="Z45" s="155"/>
      <c r="AA45" s="156"/>
      <c r="AB45" s="155"/>
      <c r="AC45" s="156"/>
      <c r="AD45" s="79">
        <v>1</v>
      </c>
      <c r="AE45" s="79">
        <v>1</v>
      </c>
      <c r="AF45" s="8"/>
      <c r="AG45" s="8"/>
    </row>
    <row r="46" spans="2:33" ht="25.35" customHeight="1">
      <c r="B46" s="565"/>
      <c r="C46" s="43" t="s">
        <v>141</v>
      </c>
      <c r="D46" s="103"/>
      <c r="E46" s="104"/>
      <c r="F46" s="103"/>
      <c r="G46" s="104"/>
      <c r="H46" s="103"/>
      <c r="I46" s="104"/>
      <c r="J46" s="103"/>
      <c r="K46" s="104"/>
      <c r="L46" s="103"/>
      <c r="M46" s="104"/>
      <c r="N46" s="129"/>
      <c r="O46" s="130"/>
      <c r="P46" s="129"/>
      <c r="Q46" s="130"/>
      <c r="R46" s="129"/>
      <c r="S46" s="130">
        <v>2</v>
      </c>
      <c r="T46" s="129"/>
      <c r="U46" s="130"/>
      <c r="V46" s="155"/>
      <c r="W46" s="156"/>
      <c r="X46" s="155"/>
      <c r="Y46" s="156"/>
      <c r="Z46" s="155"/>
      <c r="AA46" s="156"/>
      <c r="AB46" s="155"/>
      <c r="AC46" s="156"/>
      <c r="AD46" s="79">
        <f>D46*3+F46*2+H46*2+J46*2+N46*3+P46*2+R46*2+T46*2+V46*3+X46*2+Z46*2+AB46*2</f>
        <v>0</v>
      </c>
      <c r="AE46" s="79">
        <v>2</v>
      </c>
      <c r="AF46" s="96"/>
      <c r="AG46" s="9"/>
    </row>
    <row r="47" spans="2:33" ht="25.35" customHeight="1" thickBot="1">
      <c r="B47" s="565"/>
      <c r="C47" s="42" t="s">
        <v>142</v>
      </c>
      <c r="D47" s="113"/>
      <c r="E47" s="114"/>
      <c r="F47" s="113"/>
      <c r="G47" s="114"/>
      <c r="H47" s="113"/>
      <c r="I47" s="114"/>
      <c r="J47" s="113"/>
      <c r="K47" s="114"/>
      <c r="L47" s="103"/>
      <c r="M47" s="104"/>
      <c r="N47" s="131"/>
      <c r="O47" s="132"/>
      <c r="P47" s="131"/>
      <c r="Q47" s="132">
        <v>2</v>
      </c>
      <c r="R47" s="131"/>
      <c r="S47" s="132"/>
      <c r="T47" s="131"/>
      <c r="U47" s="132">
        <v>2</v>
      </c>
      <c r="V47" s="165"/>
      <c r="W47" s="166"/>
      <c r="X47" s="165"/>
      <c r="Y47" s="166"/>
      <c r="Z47" s="165"/>
      <c r="AA47" s="166"/>
      <c r="AB47" s="165"/>
      <c r="AC47" s="166"/>
      <c r="AD47" s="84">
        <v>0</v>
      </c>
      <c r="AE47" s="84">
        <v>2</v>
      </c>
      <c r="AF47" s="96"/>
      <c r="AG47" s="9"/>
    </row>
    <row r="48" spans="2:33" ht="25.35" customHeight="1" thickTop="1">
      <c r="B48" s="566"/>
      <c r="C48" s="55" t="s">
        <v>53</v>
      </c>
      <c r="D48" s="115">
        <v>2</v>
      </c>
      <c r="E48" s="116"/>
      <c r="F48" s="115">
        <v>2</v>
      </c>
      <c r="G48" s="116"/>
      <c r="H48" s="115">
        <v>2</v>
      </c>
      <c r="I48" s="116"/>
      <c r="J48" s="115">
        <v>2</v>
      </c>
      <c r="K48" s="116"/>
      <c r="L48" s="103">
        <v>2</v>
      </c>
      <c r="M48" s="104"/>
      <c r="N48" s="140"/>
      <c r="O48" s="141"/>
      <c r="P48" s="140"/>
      <c r="Q48" s="141"/>
      <c r="R48" s="140"/>
      <c r="S48" s="141"/>
      <c r="T48" s="140"/>
      <c r="U48" s="141"/>
      <c r="V48" s="167"/>
      <c r="W48" s="168"/>
      <c r="X48" s="167"/>
      <c r="Y48" s="168"/>
      <c r="Z48" s="167"/>
      <c r="AA48" s="168"/>
      <c r="AB48" s="167"/>
      <c r="AC48" s="168"/>
      <c r="AD48" s="83">
        <f>D48*3+F48*2+H48*2+J48*2+N48*3+P48*2+R48*2+T48*2+V48*3+X48*2+Z48*2+AB48*2</f>
        <v>18</v>
      </c>
      <c r="AE48" s="83">
        <f>E48*3+G48*2+I48*2+K48*2+O48*3+Q48*2+S48*2+U48*2+W48*3+Y48*2+AA48*2+AC48*2</f>
        <v>0</v>
      </c>
      <c r="AF48" s="22">
        <f>SUM(AD48:AD50)</f>
        <v>18</v>
      </c>
      <c r="AG48" s="22">
        <f>AE50+AE49</f>
        <v>18</v>
      </c>
    </row>
    <row r="49" spans="2:33" ht="25.35" customHeight="1">
      <c r="B49" s="566"/>
      <c r="C49" s="89" t="s">
        <v>135</v>
      </c>
      <c r="D49" s="117"/>
      <c r="E49" s="118">
        <v>1</v>
      </c>
      <c r="F49" s="117"/>
      <c r="G49" s="118">
        <v>1</v>
      </c>
      <c r="H49" s="117"/>
      <c r="I49" s="118">
        <v>1</v>
      </c>
      <c r="J49" s="117"/>
      <c r="K49" s="118">
        <v>1</v>
      </c>
      <c r="L49" s="103"/>
      <c r="M49" s="104">
        <v>1</v>
      </c>
      <c r="N49" s="142"/>
      <c r="O49" s="143"/>
      <c r="P49" s="142"/>
      <c r="Q49" s="143"/>
      <c r="R49" s="142"/>
      <c r="S49" s="143"/>
      <c r="T49" s="142"/>
      <c r="U49" s="143"/>
      <c r="V49" s="157"/>
      <c r="W49" s="158"/>
      <c r="X49" s="157"/>
      <c r="Y49" s="158"/>
      <c r="Z49" s="157"/>
      <c r="AA49" s="158"/>
      <c r="AB49" s="157"/>
      <c r="AC49" s="158"/>
      <c r="AD49" s="97">
        <v>0</v>
      </c>
      <c r="AE49" s="79">
        <v>9</v>
      </c>
      <c r="AF49" s="8"/>
      <c r="AG49" s="8"/>
    </row>
    <row r="50" spans="2:33" ht="24.75" customHeight="1" thickBot="1">
      <c r="B50" s="567"/>
      <c r="C50" s="60" t="s">
        <v>136</v>
      </c>
      <c r="D50" s="111"/>
      <c r="E50" s="112">
        <v>1</v>
      </c>
      <c r="F50" s="111"/>
      <c r="G50" s="112">
        <v>1</v>
      </c>
      <c r="H50" s="111"/>
      <c r="I50" s="112">
        <v>1</v>
      </c>
      <c r="J50" s="111"/>
      <c r="K50" s="112">
        <v>1</v>
      </c>
      <c r="L50" s="111"/>
      <c r="M50" s="112">
        <v>1</v>
      </c>
      <c r="N50" s="137"/>
      <c r="O50" s="138"/>
      <c r="P50" s="137"/>
      <c r="Q50" s="138"/>
      <c r="R50" s="137"/>
      <c r="S50" s="138"/>
      <c r="T50" s="137"/>
      <c r="U50" s="138"/>
      <c r="V50" s="163"/>
      <c r="W50" s="164"/>
      <c r="X50" s="163"/>
      <c r="Y50" s="164"/>
      <c r="Z50" s="163"/>
      <c r="AA50" s="164"/>
      <c r="AB50" s="163"/>
      <c r="AC50" s="164"/>
      <c r="AD50" s="80">
        <f t="shared" ref="AD50:AE52" si="4">D50*3+F50*2+H50*2+J50*2+N50*3+P50*2+R50*2+T50*2+V50*3+X50*2+Z50*2+AB50*2</f>
        <v>0</v>
      </c>
      <c r="AE50" s="80">
        <f t="shared" si="4"/>
        <v>9</v>
      </c>
      <c r="AF50" s="23"/>
      <c r="AG50" s="23"/>
    </row>
    <row r="51" spans="2:33" ht="25.35" customHeight="1" thickTop="1">
      <c r="B51" s="559" t="s">
        <v>51</v>
      </c>
      <c r="C51" s="55" t="s">
        <v>61</v>
      </c>
      <c r="D51" s="101">
        <v>3</v>
      </c>
      <c r="E51" s="102">
        <v>3</v>
      </c>
      <c r="F51" s="101">
        <v>3</v>
      </c>
      <c r="G51" s="102">
        <v>3</v>
      </c>
      <c r="H51" s="101">
        <v>3</v>
      </c>
      <c r="I51" s="102">
        <v>3</v>
      </c>
      <c r="J51" s="101">
        <v>3</v>
      </c>
      <c r="K51" s="102">
        <v>3</v>
      </c>
      <c r="L51" s="101"/>
      <c r="M51" s="102"/>
      <c r="N51" s="128">
        <v>2</v>
      </c>
      <c r="O51" s="139">
        <v>2</v>
      </c>
      <c r="P51" s="128">
        <v>2</v>
      </c>
      <c r="Q51" s="139">
        <v>2</v>
      </c>
      <c r="R51" s="128">
        <v>2</v>
      </c>
      <c r="S51" s="139">
        <v>2</v>
      </c>
      <c r="T51" s="128"/>
      <c r="U51" s="139"/>
      <c r="V51" s="161"/>
      <c r="W51" s="162"/>
      <c r="X51" s="161"/>
      <c r="Y51" s="162"/>
      <c r="Z51" s="161"/>
      <c r="AA51" s="162"/>
      <c r="AB51" s="161"/>
      <c r="AC51" s="162"/>
      <c r="AD51" s="75">
        <f t="shared" si="4"/>
        <v>41</v>
      </c>
      <c r="AE51" s="75">
        <f t="shared" si="4"/>
        <v>41</v>
      </c>
      <c r="AF51" s="5">
        <f>SUM(AD51:AD71)</f>
        <v>127</v>
      </c>
      <c r="AG51" s="5">
        <f>SUM(AE51:AE71)</f>
        <v>119</v>
      </c>
    </row>
    <row r="52" spans="2:33" ht="25.35" customHeight="1">
      <c r="B52" s="552"/>
      <c r="C52" s="15" t="s">
        <v>43</v>
      </c>
      <c r="D52" s="103"/>
      <c r="E52" s="104"/>
      <c r="F52" s="103"/>
      <c r="G52" s="104"/>
      <c r="H52" s="103"/>
      <c r="I52" s="104"/>
      <c r="J52" s="103"/>
      <c r="K52" s="104"/>
      <c r="L52" s="103"/>
      <c r="M52" s="104"/>
      <c r="N52" s="129">
        <v>1</v>
      </c>
      <c r="O52" s="130">
        <v>1</v>
      </c>
      <c r="P52" s="129">
        <v>1</v>
      </c>
      <c r="Q52" s="130">
        <v>1</v>
      </c>
      <c r="R52" s="129">
        <v>1</v>
      </c>
      <c r="S52" s="130">
        <v>1</v>
      </c>
      <c r="T52" s="129"/>
      <c r="U52" s="130"/>
      <c r="V52" s="155">
        <v>3</v>
      </c>
      <c r="W52" s="156">
        <v>3</v>
      </c>
      <c r="X52" s="155"/>
      <c r="Y52" s="156"/>
      <c r="Z52" s="155">
        <v>4</v>
      </c>
      <c r="AA52" s="156">
        <v>4</v>
      </c>
      <c r="AB52" s="155"/>
      <c r="AC52" s="156"/>
      <c r="AD52" s="79">
        <f t="shared" si="4"/>
        <v>24</v>
      </c>
      <c r="AE52" s="79">
        <f t="shared" si="4"/>
        <v>24</v>
      </c>
      <c r="AF52" s="96"/>
      <c r="AG52" s="8"/>
    </row>
    <row r="53" spans="2:33" ht="25.35" customHeight="1" thickBot="1">
      <c r="B53" s="552"/>
      <c r="C53" s="55" t="s">
        <v>153</v>
      </c>
      <c r="D53" s="115"/>
      <c r="E53" s="116"/>
      <c r="F53" s="115"/>
      <c r="G53" s="116"/>
      <c r="H53" s="115"/>
      <c r="I53" s="116"/>
      <c r="J53" s="115"/>
      <c r="K53" s="116"/>
      <c r="L53" s="115"/>
      <c r="M53" s="116"/>
      <c r="N53" s="140"/>
      <c r="O53" s="141"/>
      <c r="P53" s="140"/>
      <c r="Q53" s="141"/>
      <c r="R53" s="140"/>
      <c r="S53" s="141"/>
      <c r="T53" s="140"/>
      <c r="U53" s="141"/>
      <c r="V53" s="167"/>
      <c r="W53" s="168"/>
      <c r="X53" s="167"/>
      <c r="Y53" s="168"/>
      <c r="Z53" s="167"/>
      <c r="AA53" s="168"/>
      <c r="AB53" s="167"/>
      <c r="AC53" s="168"/>
      <c r="AD53" s="84">
        <v>2</v>
      </c>
      <c r="AE53" s="84">
        <v>2</v>
      </c>
      <c r="AF53" s="96"/>
      <c r="AG53" s="8"/>
    </row>
    <row r="54" spans="2:33" ht="25.35" customHeight="1" thickTop="1">
      <c r="B54" s="552"/>
      <c r="C54" s="57" t="s">
        <v>71</v>
      </c>
      <c r="D54" s="107"/>
      <c r="E54" s="108"/>
      <c r="F54" s="107">
        <v>2</v>
      </c>
      <c r="G54" s="108">
        <v>2</v>
      </c>
      <c r="H54" s="107">
        <v>2</v>
      </c>
      <c r="I54" s="108">
        <v>2</v>
      </c>
      <c r="J54" s="107"/>
      <c r="K54" s="108"/>
      <c r="L54" s="107"/>
      <c r="M54" s="108"/>
      <c r="N54" s="133"/>
      <c r="O54" s="134"/>
      <c r="P54" s="133"/>
      <c r="Q54" s="134"/>
      <c r="R54" s="133"/>
      <c r="S54" s="134"/>
      <c r="T54" s="133"/>
      <c r="U54" s="134"/>
      <c r="V54" s="159"/>
      <c r="W54" s="160"/>
      <c r="X54" s="159"/>
      <c r="Y54" s="160"/>
      <c r="Z54" s="159"/>
      <c r="AA54" s="160"/>
      <c r="AB54" s="159"/>
      <c r="AC54" s="160"/>
      <c r="AD54" s="83">
        <f t="shared" ref="AD54:AE58" si="5">D54*3+F54*2+H54*2+J54*2+N54*3+P54*2+R54*2+T54*2+V54*3+X54*2+Z54*2+AB54*2</f>
        <v>8</v>
      </c>
      <c r="AE54" s="83">
        <f t="shared" si="5"/>
        <v>8</v>
      </c>
      <c r="AF54" s="96"/>
      <c r="AG54" s="96"/>
    </row>
    <row r="55" spans="2:33" ht="25.35" customHeight="1">
      <c r="B55" s="552"/>
      <c r="C55" s="61" t="s">
        <v>78</v>
      </c>
      <c r="D55" s="115"/>
      <c r="E55" s="116"/>
      <c r="F55" s="115"/>
      <c r="G55" s="116"/>
      <c r="H55" s="115"/>
      <c r="I55" s="116"/>
      <c r="J55" s="115"/>
      <c r="K55" s="116"/>
      <c r="L55" s="115"/>
      <c r="M55" s="116"/>
      <c r="N55" s="140"/>
      <c r="O55" s="141"/>
      <c r="P55" s="140"/>
      <c r="Q55" s="141"/>
      <c r="R55" s="140"/>
      <c r="S55" s="141"/>
      <c r="T55" s="140"/>
      <c r="U55" s="141"/>
      <c r="V55" s="167"/>
      <c r="W55" s="168"/>
      <c r="X55" s="167">
        <v>4</v>
      </c>
      <c r="Y55" s="168">
        <v>4</v>
      </c>
      <c r="Z55" s="167"/>
      <c r="AA55" s="168"/>
      <c r="AB55" s="167"/>
      <c r="AC55" s="168"/>
      <c r="AD55" s="79">
        <f t="shared" si="5"/>
        <v>8</v>
      </c>
      <c r="AE55" s="79">
        <f t="shared" si="5"/>
        <v>8</v>
      </c>
      <c r="AF55" s="96"/>
      <c r="AG55" s="96"/>
    </row>
    <row r="56" spans="2:33" ht="25.35" customHeight="1">
      <c r="B56" s="552"/>
      <c r="C56" s="61" t="s">
        <v>69</v>
      </c>
      <c r="D56" s="115"/>
      <c r="E56" s="104"/>
      <c r="F56" s="115">
        <v>1</v>
      </c>
      <c r="G56" s="104">
        <v>1</v>
      </c>
      <c r="H56" s="115"/>
      <c r="I56" s="116"/>
      <c r="J56" s="115"/>
      <c r="K56" s="116"/>
      <c r="L56" s="115"/>
      <c r="M56" s="116"/>
      <c r="N56" s="140"/>
      <c r="O56" s="141"/>
      <c r="P56" s="140"/>
      <c r="Q56" s="141"/>
      <c r="R56" s="140"/>
      <c r="S56" s="141"/>
      <c r="T56" s="140"/>
      <c r="U56" s="141"/>
      <c r="V56" s="167"/>
      <c r="W56" s="168"/>
      <c r="X56" s="167"/>
      <c r="Y56" s="168"/>
      <c r="Z56" s="167"/>
      <c r="AA56" s="168"/>
      <c r="AB56" s="167"/>
      <c r="AC56" s="168"/>
      <c r="AD56" s="79">
        <f t="shared" si="5"/>
        <v>2</v>
      </c>
      <c r="AE56" s="79">
        <f t="shared" si="5"/>
        <v>2</v>
      </c>
      <c r="AF56" s="96"/>
      <c r="AG56" s="96"/>
    </row>
    <row r="57" spans="2:33" ht="25.35" customHeight="1">
      <c r="B57" s="552"/>
      <c r="C57" s="43" t="s">
        <v>65</v>
      </c>
      <c r="D57" s="109"/>
      <c r="E57" s="110"/>
      <c r="F57" s="109"/>
      <c r="G57" s="110"/>
      <c r="H57" s="103"/>
      <c r="I57" s="104"/>
      <c r="J57" s="103"/>
      <c r="K57" s="104"/>
      <c r="L57" s="103"/>
      <c r="M57" s="104"/>
      <c r="N57" s="129"/>
      <c r="O57" s="130"/>
      <c r="P57" s="129">
        <v>2</v>
      </c>
      <c r="Q57" s="130">
        <v>2</v>
      </c>
      <c r="R57" s="129">
        <v>2</v>
      </c>
      <c r="S57" s="130">
        <v>2</v>
      </c>
      <c r="T57" s="129"/>
      <c r="U57" s="130"/>
      <c r="V57" s="155"/>
      <c r="W57" s="156"/>
      <c r="X57" s="155"/>
      <c r="Y57" s="156"/>
      <c r="Z57" s="155"/>
      <c r="AA57" s="156"/>
      <c r="AB57" s="155"/>
      <c r="AC57" s="156"/>
      <c r="AD57" s="79">
        <f t="shared" si="5"/>
        <v>8</v>
      </c>
      <c r="AE57" s="79">
        <f t="shared" si="5"/>
        <v>8</v>
      </c>
      <c r="AF57" s="9"/>
      <c r="AG57" s="96"/>
    </row>
    <row r="58" spans="2:33" ht="25.35" customHeight="1">
      <c r="B58" s="552"/>
      <c r="C58" s="43" t="s">
        <v>85</v>
      </c>
      <c r="D58" s="109"/>
      <c r="E58" s="110"/>
      <c r="F58" s="109"/>
      <c r="G58" s="110"/>
      <c r="H58" s="103"/>
      <c r="I58" s="104"/>
      <c r="J58" s="103"/>
      <c r="K58" s="104"/>
      <c r="L58" s="103"/>
      <c r="M58" s="104"/>
      <c r="N58" s="129"/>
      <c r="O58" s="130"/>
      <c r="P58" s="129"/>
      <c r="Q58" s="130"/>
      <c r="R58" s="129"/>
      <c r="S58" s="130"/>
      <c r="T58" s="129">
        <v>3</v>
      </c>
      <c r="U58" s="130">
        <v>3</v>
      </c>
      <c r="V58" s="155"/>
      <c r="W58" s="156"/>
      <c r="X58" s="155"/>
      <c r="Y58" s="156"/>
      <c r="Z58" s="155"/>
      <c r="AA58" s="156"/>
      <c r="AB58" s="155"/>
      <c r="AC58" s="156"/>
      <c r="AD58" s="79">
        <f t="shared" si="5"/>
        <v>6</v>
      </c>
      <c r="AE58" s="79">
        <f t="shared" si="5"/>
        <v>6</v>
      </c>
      <c r="AF58" s="9"/>
      <c r="AG58" s="96"/>
    </row>
    <row r="59" spans="2:33" ht="25.35" customHeight="1">
      <c r="B59" s="552"/>
      <c r="C59" s="43" t="s">
        <v>99</v>
      </c>
      <c r="D59" s="109"/>
      <c r="E59" s="110"/>
      <c r="F59" s="109"/>
      <c r="G59" s="110"/>
      <c r="H59" s="103"/>
      <c r="I59" s="104"/>
      <c r="J59" s="103"/>
      <c r="K59" s="104"/>
      <c r="L59" s="103"/>
      <c r="M59" s="104"/>
      <c r="N59" s="129"/>
      <c r="O59" s="130"/>
      <c r="P59" s="129"/>
      <c r="Q59" s="130"/>
      <c r="R59" s="129"/>
      <c r="S59" s="130"/>
      <c r="T59" s="129"/>
      <c r="U59" s="130"/>
      <c r="V59" s="155"/>
      <c r="W59" s="156"/>
      <c r="X59" s="155"/>
      <c r="Y59" s="156"/>
      <c r="Z59" s="155"/>
      <c r="AA59" s="156"/>
      <c r="AB59" s="155">
        <v>3</v>
      </c>
      <c r="AC59" s="156">
        <v>3</v>
      </c>
      <c r="AD59" s="79">
        <f>AB59*2</f>
        <v>6</v>
      </c>
      <c r="AE59" s="79">
        <f>AC59*2</f>
        <v>6</v>
      </c>
      <c r="AF59" s="9"/>
      <c r="AG59" s="96"/>
    </row>
    <row r="60" spans="2:33" ht="25.35" customHeight="1">
      <c r="B60" s="552"/>
      <c r="C60" s="43" t="s">
        <v>88</v>
      </c>
      <c r="D60" s="103"/>
      <c r="E60" s="104"/>
      <c r="F60" s="103"/>
      <c r="G60" s="104"/>
      <c r="H60" s="103"/>
      <c r="I60" s="104"/>
      <c r="J60" s="103"/>
      <c r="K60" s="104"/>
      <c r="L60" s="103"/>
      <c r="M60" s="104"/>
      <c r="N60" s="129"/>
      <c r="O60" s="130"/>
      <c r="P60" s="129"/>
      <c r="Q60" s="130"/>
      <c r="R60" s="129"/>
      <c r="S60" s="130"/>
      <c r="T60" s="129"/>
      <c r="U60" s="130"/>
      <c r="V60" s="155"/>
      <c r="W60" s="156"/>
      <c r="X60" s="155">
        <v>2</v>
      </c>
      <c r="Y60" s="156">
        <v>2</v>
      </c>
      <c r="Z60" s="155"/>
      <c r="AA60" s="156"/>
      <c r="AB60" s="155"/>
      <c r="AC60" s="156"/>
      <c r="AD60" s="79">
        <f>D60*3+F60*2+H60*2+J60*2+N60*3+P60*2+R60*2+T60*2+V60*3+X60*2+Z60*2+AB60*2</f>
        <v>4</v>
      </c>
      <c r="AE60" s="79">
        <f>E60*3+G60*2+I60*2+K60*2+O60*3+Q60*2+S60*2+U60*2+W60*3+Y60*2+AA60*2+AC60*2</f>
        <v>4</v>
      </c>
      <c r="AF60" s="9"/>
      <c r="AG60" s="96"/>
    </row>
    <row r="61" spans="2:33" ht="25.35" customHeight="1">
      <c r="B61" s="552"/>
      <c r="C61" s="43" t="s">
        <v>134</v>
      </c>
      <c r="D61" s="103"/>
      <c r="E61" s="104"/>
      <c r="F61" s="103"/>
      <c r="G61" s="104"/>
      <c r="H61" s="103"/>
      <c r="I61" s="104"/>
      <c r="J61" s="103"/>
      <c r="K61" s="104"/>
      <c r="L61" s="103"/>
      <c r="M61" s="104"/>
      <c r="N61" s="129"/>
      <c r="O61" s="130"/>
      <c r="P61" s="129"/>
      <c r="Q61" s="130"/>
      <c r="R61" s="129"/>
      <c r="S61" s="130"/>
      <c r="T61" s="129"/>
      <c r="U61" s="130"/>
      <c r="V61" s="155"/>
      <c r="W61" s="156"/>
      <c r="X61" s="155">
        <v>2</v>
      </c>
      <c r="Y61" s="156"/>
      <c r="Z61" s="155"/>
      <c r="AA61" s="156"/>
      <c r="AB61" s="155"/>
      <c r="AC61" s="156"/>
      <c r="AD61" s="79">
        <v>4</v>
      </c>
      <c r="AE61" s="79">
        <v>0</v>
      </c>
      <c r="AF61" s="9"/>
      <c r="AG61" s="96"/>
    </row>
    <row r="62" spans="2:33" ht="25.35" customHeight="1">
      <c r="B62" s="552"/>
      <c r="C62" s="43" t="s">
        <v>74</v>
      </c>
      <c r="D62" s="103"/>
      <c r="E62" s="104"/>
      <c r="F62" s="103"/>
      <c r="G62" s="104"/>
      <c r="H62" s="103"/>
      <c r="I62" s="104"/>
      <c r="J62" s="103"/>
      <c r="K62" s="104"/>
      <c r="L62" s="103"/>
      <c r="M62" s="104"/>
      <c r="N62" s="129"/>
      <c r="O62" s="130"/>
      <c r="P62" s="129"/>
      <c r="Q62" s="130"/>
      <c r="R62" s="129"/>
      <c r="S62" s="130"/>
      <c r="T62" s="129"/>
      <c r="U62" s="130"/>
      <c r="V62" s="155"/>
      <c r="W62" s="156"/>
      <c r="X62" s="155"/>
      <c r="Y62" s="156">
        <v>2</v>
      </c>
      <c r="Z62" s="155"/>
      <c r="AA62" s="156"/>
      <c r="AB62" s="155"/>
      <c r="AC62" s="156"/>
      <c r="AD62" s="79">
        <v>0</v>
      </c>
      <c r="AE62" s="79">
        <v>4</v>
      </c>
      <c r="AF62" s="9"/>
      <c r="AG62" s="96"/>
    </row>
    <row r="63" spans="2:33" ht="25.35" customHeight="1">
      <c r="B63" s="552"/>
      <c r="C63" s="85" t="s">
        <v>106</v>
      </c>
      <c r="D63" s="103"/>
      <c r="E63" s="104"/>
      <c r="F63" s="103"/>
      <c r="G63" s="104"/>
      <c r="H63" s="103"/>
      <c r="I63" s="104"/>
      <c r="J63" s="103"/>
      <c r="K63" s="104"/>
      <c r="L63" s="103"/>
      <c r="M63" s="104"/>
      <c r="N63" s="129"/>
      <c r="O63" s="130"/>
      <c r="P63" s="129"/>
      <c r="Q63" s="130"/>
      <c r="R63" s="129">
        <v>2</v>
      </c>
      <c r="S63" s="130"/>
      <c r="T63" s="129"/>
      <c r="U63" s="130"/>
      <c r="V63" s="155"/>
      <c r="W63" s="156"/>
      <c r="X63" s="155"/>
      <c r="Y63" s="156"/>
      <c r="Z63" s="174"/>
      <c r="AA63" s="173"/>
      <c r="AB63" s="155"/>
      <c r="AC63" s="156"/>
      <c r="AD63" s="79">
        <v>2</v>
      </c>
      <c r="AE63" s="79">
        <v>0</v>
      </c>
      <c r="AF63" s="9"/>
      <c r="AG63" s="96"/>
    </row>
    <row r="64" spans="2:33" ht="25.35" customHeight="1">
      <c r="B64" s="552"/>
      <c r="C64" s="85" t="s">
        <v>143</v>
      </c>
      <c r="D64" s="103"/>
      <c r="E64" s="104"/>
      <c r="F64" s="103"/>
      <c r="G64" s="104"/>
      <c r="H64" s="103"/>
      <c r="I64" s="104"/>
      <c r="J64" s="103"/>
      <c r="K64" s="104"/>
      <c r="L64" s="103"/>
      <c r="M64" s="104"/>
      <c r="N64" s="129"/>
      <c r="O64" s="130"/>
      <c r="P64" s="129"/>
      <c r="Q64" s="130">
        <v>2</v>
      </c>
      <c r="R64" s="129"/>
      <c r="S64" s="130"/>
      <c r="T64" s="129"/>
      <c r="U64" s="130">
        <v>2</v>
      </c>
      <c r="V64" s="155"/>
      <c r="W64" s="156"/>
      <c r="X64" s="155"/>
      <c r="Y64" s="156"/>
      <c r="Z64" s="174"/>
      <c r="AA64" s="173"/>
      <c r="AB64" s="155"/>
      <c r="AC64" s="156"/>
      <c r="AD64" s="81">
        <v>2</v>
      </c>
      <c r="AE64" s="81">
        <v>0</v>
      </c>
      <c r="AF64" s="9"/>
      <c r="AG64" s="96"/>
    </row>
    <row r="65" spans="2:36" ht="25.35" customHeight="1">
      <c r="B65" s="552"/>
      <c r="C65" s="77" t="s">
        <v>64</v>
      </c>
      <c r="D65" s="103"/>
      <c r="E65" s="104"/>
      <c r="F65" s="103"/>
      <c r="G65" s="104"/>
      <c r="H65" s="103"/>
      <c r="I65" s="104"/>
      <c r="J65" s="103"/>
      <c r="K65" s="104"/>
      <c r="L65" s="103"/>
      <c r="M65" s="104"/>
      <c r="N65" s="129"/>
      <c r="O65" s="130"/>
      <c r="P65" s="149">
        <v>2</v>
      </c>
      <c r="Q65" s="150">
        <v>2</v>
      </c>
      <c r="R65" s="129"/>
      <c r="S65" s="130"/>
      <c r="T65" s="129"/>
      <c r="U65" s="130"/>
      <c r="V65" s="155"/>
      <c r="W65" s="156"/>
      <c r="X65" s="155"/>
      <c r="Y65" s="156"/>
      <c r="Z65" s="155"/>
      <c r="AA65" s="156"/>
      <c r="AB65" s="155"/>
      <c r="AC65" s="156"/>
      <c r="AD65" s="88">
        <v>4</v>
      </c>
      <c r="AE65" s="88">
        <v>4</v>
      </c>
      <c r="AF65" s="9"/>
      <c r="AG65" s="96"/>
    </row>
    <row r="66" spans="2:36" ht="25.35" customHeight="1">
      <c r="B66" s="552"/>
      <c r="C66" s="77" t="s">
        <v>122</v>
      </c>
      <c r="D66" s="103"/>
      <c r="E66" s="104"/>
      <c r="F66" s="103"/>
      <c r="G66" s="104"/>
      <c r="H66" s="103"/>
      <c r="I66" s="104"/>
      <c r="J66" s="103"/>
      <c r="K66" s="104"/>
      <c r="L66" s="103"/>
      <c r="M66" s="104"/>
      <c r="N66" s="129"/>
      <c r="O66" s="130"/>
      <c r="P66" s="149">
        <v>2</v>
      </c>
      <c r="Q66" s="150"/>
      <c r="R66" s="149"/>
      <c r="S66" s="150"/>
      <c r="T66" s="149"/>
      <c r="U66" s="130"/>
      <c r="V66" s="155"/>
      <c r="W66" s="156"/>
      <c r="X66" s="155"/>
      <c r="Y66" s="156"/>
      <c r="Z66" s="155"/>
      <c r="AA66" s="156"/>
      <c r="AB66" s="155"/>
      <c r="AC66" s="156"/>
      <c r="AD66" s="88">
        <v>2</v>
      </c>
      <c r="AE66" s="88">
        <v>0</v>
      </c>
      <c r="AF66" s="9"/>
      <c r="AG66" s="96"/>
    </row>
    <row r="67" spans="2:36" ht="25.35" customHeight="1">
      <c r="B67" s="552"/>
      <c r="C67" s="77" t="s">
        <v>123</v>
      </c>
      <c r="D67" s="103"/>
      <c r="E67" s="104"/>
      <c r="F67" s="103"/>
      <c r="G67" s="104"/>
      <c r="H67" s="103"/>
      <c r="I67" s="104"/>
      <c r="J67" s="103"/>
      <c r="K67" s="104"/>
      <c r="L67" s="103"/>
      <c r="M67" s="104"/>
      <c r="N67" s="129"/>
      <c r="O67" s="130"/>
      <c r="P67" s="149">
        <v>2</v>
      </c>
      <c r="Q67" s="150"/>
      <c r="R67" s="149"/>
      <c r="S67" s="150"/>
      <c r="T67" s="149"/>
      <c r="U67" s="130"/>
      <c r="V67" s="155"/>
      <c r="W67" s="156"/>
      <c r="X67" s="155"/>
      <c r="Y67" s="156"/>
      <c r="Z67" s="155"/>
      <c r="AA67" s="156"/>
      <c r="AB67" s="155"/>
      <c r="AC67" s="156"/>
      <c r="AD67" s="88">
        <v>2</v>
      </c>
      <c r="AE67" s="88">
        <v>0</v>
      </c>
      <c r="AF67" s="9"/>
      <c r="AG67" s="96"/>
    </row>
    <row r="68" spans="2:36" ht="25.35" customHeight="1">
      <c r="B68" s="552"/>
      <c r="C68" s="77" t="s">
        <v>125</v>
      </c>
      <c r="D68" s="103"/>
      <c r="E68" s="104"/>
      <c r="F68" s="103"/>
      <c r="G68" s="104"/>
      <c r="H68" s="103"/>
      <c r="I68" s="104"/>
      <c r="J68" s="103"/>
      <c r="K68" s="104"/>
      <c r="L68" s="103"/>
      <c r="M68" s="104"/>
      <c r="N68" s="129"/>
      <c r="O68" s="130"/>
      <c r="P68" s="149">
        <v>1</v>
      </c>
      <c r="Q68" s="150"/>
      <c r="R68" s="149"/>
      <c r="S68" s="150"/>
      <c r="T68" s="149"/>
      <c r="U68" s="130"/>
      <c r="V68" s="155"/>
      <c r="W68" s="156"/>
      <c r="X68" s="155"/>
      <c r="Y68" s="156"/>
      <c r="Z68" s="155"/>
      <c r="AA68" s="156"/>
      <c r="AB68" s="155"/>
      <c r="AC68" s="156"/>
      <c r="AD68" s="88">
        <v>1</v>
      </c>
      <c r="AE68" s="88">
        <v>0</v>
      </c>
      <c r="AF68" s="9"/>
      <c r="AG68" s="96"/>
    </row>
    <row r="69" spans="2:36" ht="25.35" customHeight="1">
      <c r="B69" s="552"/>
      <c r="C69" s="77" t="s">
        <v>126</v>
      </c>
      <c r="D69" s="103"/>
      <c r="E69" s="104"/>
      <c r="F69" s="103"/>
      <c r="G69" s="104"/>
      <c r="H69" s="103"/>
      <c r="I69" s="104"/>
      <c r="J69" s="103"/>
      <c r="K69" s="104"/>
      <c r="L69" s="103"/>
      <c r="M69" s="104"/>
      <c r="N69" s="129"/>
      <c r="O69" s="130"/>
      <c r="P69" s="149">
        <v>1</v>
      </c>
      <c r="Q69" s="150"/>
      <c r="R69" s="149"/>
      <c r="S69" s="150"/>
      <c r="T69" s="149"/>
      <c r="U69" s="130"/>
      <c r="V69" s="155"/>
      <c r="W69" s="156"/>
      <c r="X69" s="155"/>
      <c r="Y69" s="156"/>
      <c r="Z69" s="155"/>
      <c r="AA69" s="156"/>
      <c r="AB69" s="155"/>
      <c r="AC69" s="156"/>
      <c r="AD69" s="88">
        <v>1</v>
      </c>
      <c r="AE69" s="88">
        <v>0</v>
      </c>
      <c r="AF69" s="9"/>
      <c r="AG69" s="96"/>
    </row>
    <row r="70" spans="2:36" ht="25.35" customHeight="1">
      <c r="B70" s="552"/>
      <c r="C70" s="77" t="s">
        <v>121</v>
      </c>
      <c r="D70" s="103"/>
      <c r="E70" s="104"/>
      <c r="F70" s="103"/>
      <c r="G70" s="104"/>
      <c r="H70" s="103"/>
      <c r="I70" s="104"/>
      <c r="J70" s="103"/>
      <c r="K70" s="104"/>
      <c r="L70" s="103"/>
      <c r="M70" s="104"/>
      <c r="N70" s="129"/>
      <c r="O70" s="130"/>
      <c r="P70" s="149"/>
      <c r="Q70" s="150">
        <v>1</v>
      </c>
      <c r="R70" s="149"/>
      <c r="S70" s="150"/>
      <c r="T70" s="149"/>
      <c r="U70" s="130"/>
      <c r="V70" s="155"/>
      <c r="W70" s="156"/>
      <c r="X70" s="155"/>
      <c r="Y70" s="156"/>
      <c r="Z70" s="155"/>
      <c r="AA70" s="156"/>
      <c r="AB70" s="155"/>
      <c r="AC70" s="156"/>
      <c r="AD70" s="88">
        <v>0</v>
      </c>
      <c r="AE70" s="88">
        <v>1</v>
      </c>
      <c r="AF70" s="9"/>
      <c r="AG70" s="96"/>
    </row>
    <row r="71" spans="2:36" ht="25.35" customHeight="1" thickBot="1">
      <c r="B71" s="552"/>
      <c r="C71" s="77" t="s">
        <v>120</v>
      </c>
      <c r="D71" s="103"/>
      <c r="E71" s="104"/>
      <c r="F71" s="103"/>
      <c r="G71" s="104"/>
      <c r="H71" s="103"/>
      <c r="I71" s="104"/>
      <c r="J71" s="103"/>
      <c r="K71" s="104"/>
      <c r="L71" s="111"/>
      <c r="M71" s="112"/>
      <c r="N71" s="129"/>
      <c r="O71" s="130"/>
      <c r="P71" s="149"/>
      <c r="Q71" s="150">
        <v>1</v>
      </c>
      <c r="R71" s="149"/>
      <c r="S71" s="150"/>
      <c r="T71" s="149"/>
      <c r="U71" s="150"/>
      <c r="V71" s="155"/>
      <c r="W71" s="156"/>
      <c r="X71" s="155"/>
      <c r="Y71" s="156"/>
      <c r="Z71" s="155"/>
      <c r="AA71" s="156"/>
      <c r="AB71" s="155"/>
      <c r="AC71" s="156"/>
      <c r="AD71" s="88">
        <v>0</v>
      </c>
      <c r="AE71" s="88">
        <v>1</v>
      </c>
      <c r="AF71" s="9"/>
      <c r="AG71" s="96"/>
      <c r="AI71" s="215" t="s">
        <v>174</v>
      </c>
      <c r="AJ71" s="208"/>
    </row>
    <row r="72" spans="2:36" ht="25.35" customHeight="1" thickTop="1">
      <c r="B72" s="550" t="s">
        <v>11</v>
      </c>
      <c r="C72" s="14" t="s">
        <v>0</v>
      </c>
      <c r="D72" s="101">
        <v>2</v>
      </c>
      <c r="E72" s="102">
        <v>2</v>
      </c>
      <c r="F72" s="101">
        <v>2</v>
      </c>
      <c r="G72" s="102">
        <v>2</v>
      </c>
      <c r="H72" s="101">
        <v>2</v>
      </c>
      <c r="I72" s="102">
        <v>2</v>
      </c>
      <c r="J72" s="101">
        <v>2</v>
      </c>
      <c r="K72" s="102">
        <v>2</v>
      </c>
      <c r="L72" s="101"/>
      <c r="M72" s="102"/>
      <c r="N72" s="128"/>
      <c r="O72" s="139"/>
      <c r="P72" s="128"/>
      <c r="Q72" s="139"/>
      <c r="R72" s="128"/>
      <c r="S72" s="139"/>
      <c r="T72" s="128"/>
      <c r="U72" s="139"/>
      <c r="V72" s="153"/>
      <c r="W72" s="154"/>
      <c r="X72" s="153"/>
      <c r="Y72" s="154"/>
      <c r="Z72" s="153"/>
      <c r="AA72" s="154"/>
      <c r="AB72" s="153"/>
      <c r="AC72" s="154"/>
      <c r="AD72" s="214">
        <f>D72*2+F72*2+H72*2+J72*2+N72*3+P72*2+R72*2+T72*2+V72*3+X72*2+Z72*2+AB72*2</f>
        <v>16</v>
      </c>
      <c r="AE72" s="214">
        <f>E72*2+G72*2+I72*2+K72*2+O72*3+Q72*2+S72*2+U72*2+W72*3+Y72*2+AA72*2+AC72*2</f>
        <v>16</v>
      </c>
      <c r="AF72" s="5">
        <f>SUM(AD72:AD92)</f>
        <v>129</v>
      </c>
      <c r="AG72" s="5">
        <f>SUM(AE72:AE92)</f>
        <v>129</v>
      </c>
      <c r="AI72" s="215" t="s">
        <v>175</v>
      </c>
      <c r="AJ72" s="208"/>
    </row>
    <row r="73" spans="2:36" ht="25.35" customHeight="1">
      <c r="B73" s="551"/>
      <c r="C73" s="16" t="s">
        <v>44</v>
      </c>
      <c r="D73" s="115"/>
      <c r="E73" s="116"/>
      <c r="F73" s="115"/>
      <c r="G73" s="116"/>
      <c r="H73" s="115"/>
      <c r="I73" s="116"/>
      <c r="J73" s="115"/>
      <c r="K73" s="116"/>
      <c r="L73" s="115"/>
      <c r="M73" s="116"/>
      <c r="N73" s="140">
        <v>4</v>
      </c>
      <c r="O73" s="141">
        <v>4</v>
      </c>
      <c r="P73" s="140">
        <v>4</v>
      </c>
      <c r="Q73" s="141">
        <v>4</v>
      </c>
      <c r="R73" s="140">
        <v>4</v>
      </c>
      <c r="S73" s="141">
        <v>4</v>
      </c>
      <c r="T73" s="140"/>
      <c r="U73" s="141"/>
      <c r="V73" s="167"/>
      <c r="W73" s="168"/>
      <c r="X73" s="167"/>
      <c r="Y73" s="168"/>
      <c r="Z73" s="167"/>
      <c r="AA73" s="168"/>
      <c r="AB73" s="167"/>
      <c r="AC73" s="168"/>
      <c r="AD73" s="79">
        <f>D73*3+F73*2+H73*2+J73*2+N73*3+P73*2+R73*2+T73*2+V73*3+X73*2+Z73*2+AB73*2</f>
        <v>28</v>
      </c>
      <c r="AE73" s="79">
        <f>E73*3+G73*2+I73*2+K73*2+O73*3+Q73*2+S73*2+U73*2+W73*3+Y73*2+AA73*2+AC73*2</f>
        <v>28</v>
      </c>
      <c r="AF73" s="8"/>
      <c r="AG73" s="8"/>
      <c r="AI73" s="215" t="s">
        <v>176</v>
      </c>
      <c r="AJ73" s="208"/>
    </row>
    <row r="74" spans="2:36" ht="25.35" customHeight="1">
      <c r="B74" s="551"/>
      <c r="C74" s="55" t="s">
        <v>83</v>
      </c>
      <c r="D74" s="115"/>
      <c r="E74" s="116"/>
      <c r="F74" s="115"/>
      <c r="G74" s="116"/>
      <c r="H74" s="115"/>
      <c r="I74" s="116"/>
      <c r="J74" s="115"/>
      <c r="K74" s="116"/>
      <c r="L74" s="115"/>
      <c r="M74" s="116"/>
      <c r="N74" s="140"/>
      <c r="O74" s="141"/>
      <c r="P74" s="140"/>
      <c r="Q74" s="141"/>
      <c r="R74" s="140"/>
      <c r="S74" s="141"/>
      <c r="T74" s="140">
        <v>3</v>
      </c>
      <c r="U74" s="141">
        <v>3</v>
      </c>
      <c r="V74" s="167"/>
      <c r="W74" s="168"/>
      <c r="X74" s="167"/>
      <c r="Y74" s="168"/>
      <c r="Z74" s="167"/>
      <c r="AA74" s="168"/>
      <c r="AB74" s="167"/>
      <c r="AC74" s="168"/>
      <c r="AD74" s="79">
        <f>D74*3+F74*2+H74*2+J74*2+N74*3+P74*2+R74*2+T74*2+V74*3+X74*2+Z74*2+AB74*2</f>
        <v>6</v>
      </c>
      <c r="AE74" s="79">
        <f>E74*3+G74*2+I74*2+K74*2+O74*3+Q74*2+S74*2+U74*2+W74*3+Y74*2+AA74*2+AC74*2</f>
        <v>6</v>
      </c>
      <c r="AF74" s="8"/>
      <c r="AG74" s="8"/>
      <c r="AI74" s="215"/>
      <c r="AJ74" s="208"/>
    </row>
    <row r="75" spans="2:36" ht="25.35" customHeight="1">
      <c r="B75" s="551"/>
      <c r="C75" s="43" t="s">
        <v>94</v>
      </c>
      <c r="D75" s="103"/>
      <c r="E75" s="104"/>
      <c r="F75" s="103"/>
      <c r="G75" s="104"/>
      <c r="H75" s="103"/>
      <c r="I75" s="104"/>
      <c r="J75" s="103"/>
      <c r="K75" s="104"/>
      <c r="L75" s="103"/>
      <c r="M75" s="104"/>
      <c r="N75" s="129"/>
      <c r="O75" s="130"/>
      <c r="P75" s="129"/>
      <c r="Q75" s="130"/>
      <c r="R75" s="129"/>
      <c r="S75" s="130"/>
      <c r="T75" s="129"/>
      <c r="U75" s="130"/>
      <c r="V75" s="155">
        <v>3</v>
      </c>
      <c r="W75" s="156">
        <v>3</v>
      </c>
      <c r="X75" s="155">
        <v>4</v>
      </c>
      <c r="Y75" s="156">
        <v>4</v>
      </c>
      <c r="Z75" s="155">
        <v>4</v>
      </c>
      <c r="AA75" s="156">
        <v>4</v>
      </c>
      <c r="AB75" s="155">
        <v>3</v>
      </c>
      <c r="AC75" s="156">
        <v>3</v>
      </c>
      <c r="AD75" s="79">
        <f>V75*3+X75*2+Z75*2+AB75*2</f>
        <v>31</v>
      </c>
      <c r="AE75" s="79">
        <f>W75*3+Y75*2+AA75*2+AC75*2</f>
        <v>31</v>
      </c>
      <c r="AF75" s="8"/>
      <c r="AG75" s="8"/>
      <c r="AI75" s="215"/>
      <c r="AJ75" s="208"/>
    </row>
    <row r="76" spans="2:36" ht="25.35" customHeight="1">
      <c r="B76" s="551"/>
      <c r="C76" s="56" t="s">
        <v>79</v>
      </c>
      <c r="D76" s="103"/>
      <c r="E76" s="104"/>
      <c r="F76" s="103"/>
      <c r="G76" s="104"/>
      <c r="H76" s="103"/>
      <c r="I76" s="104"/>
      <c r="J76" s="103"/>
      <c r="K76" s="104"/>
      <c r="L76" s="115"/>
      <c r="M76" s="116"/>
      <c r="N76" s="140"/>
      <c r="O76" s="141"/>
      <c r="P76" s="140"/>
      <c r="Q76" s="141"/>
      <c r="R76" s="140"/>
      <c r="S76" s="141"/>
      <c r="T76" s="140"/>
      <c r="U76" s="141"/>
      <c r="V76" s="207">
        <v>2</v>
      </c>
      <c r="W76" s="207">
        <v>2</v>
      </c>
      <c r="X76" s="207">
        <v>2</v>
      </c>
      <c r="Y76" s="207">
        <v>2</v>
      </c>
      <c r="Z76" s="207">
        <v>2</v>
      </c>
      <c r="AA76" s="207">
        <v>2</v>
      </c>
      <c r="AB76" s="207">
        <v>2</v>
      </c>
      <c r="AC76" s="207">
        <v>2</v>
      </c>
      <c r="AD76" s="79">
        <f>D76*3+F76*2+H76*2+J76*2+N76*3+P76*2+R76*2+T76*2+V76*3+X76*2+Z76*2+AB76*2</f>
        <v>18</v>
      </c>
      <c r="AE76" s="79">
        <f>E76*3+G76*2+I76*2+K76*2+O76*3+Q76*2+S76*2+U76*2+W76*3+Y76*2+AA76*2+AC76*2</f>
        <v>18</v>
      </c>
      <c r="AF76" s="8"/>
      <c r="AG76" s="8"/>
      <c r="AI76" s="215"/>
      <c r="AJ76" s="208"/>
    </row>
    <row r="77" spans="2:36" ht="25.35" customHeight="1">
      <c r="B77" s="551"/>
      <c r="C77" s="55" t="s">
        <v>154</v>
      </c>
      <c r="D77" s="115"/>
      <c r="E77" s="116"/>
      <c r="F77" s="115"/>
      <c r="G77" s="116"/>
      <c r="H77" s="115"/>
      <c r="I77" s="116"/>
      <c r="J77" s="115"/>
      <c r="K77" s="116"/>
      <c r="L77" s="103"/>
      <c r="M77" s="104"/>
      <c r="N77" s="129"/>
      <c r="O77" s="130"/>
      <c r="P77" s="129"/>
      <c r="Q77" s="130"/>
      <c r="R77" s="129"/>
      <c r="S77" s="130"/>
      <c r="T77" s="129"/>
      <c r="U77" s="130"/>
      <c r="V77" s="207"/>
      <c r="W77" s="207"/>
      <c r="X77" s="207"/>
      <c r="Y77" s="207"/>
      <c r="Z77" s="207"/>
      <c r="AA77" s="207"/>
      <c r="AB77" s="207"/>
      <c r="AC77" s="207"/>
      <c r="AD77" s="79">
        <v>2</v>
      </c>
      <c r="AE77" s="79">
        <v>2</v>
      </c>
      <c r="AF77" s="8"/>
      <c r="AG77" s="8"/>
      <c r="AI77" s="215"/>
      <c r="AJ77" s="208"/>
    </row>
    <row r="78" spans="2:36" ht="25.35" customHeight="1">
      <c r="B78" s="551"/>
      <c r="C78" s="55" t="s">
        <v>58</v>
      </c>
      <c r="D78" s="115"/>
      <c r="E78" s="116"/>
      <c r="F78" s="115">
        <v>2</v>
      </c>
      <c r="G78" s="116">
        <v>2</v>
      </c>
      <c r="H78" s="115">
        <v>2</v>
      </c>
      <c r="I78" s="116">
        <v>2</v>
      </c>
      <c r="J78" s="115"/>
      <c r="K78" s="116"/>
      <c r="L78" s="115"/>
      <c r="M78" s="116"/>
      <c r="N78" s="129"/>
      <c r="O78" s="130"/>
      <c r="P78" s="129"/>
      <c r="Q78" s="130"/>
      <c r="R78" s="129"/>
      <c r="S78" s="130"/>
      <c r="T78" s="129"/>
      <c r="U78" s="130"/>
      <c r="V78" s="167"/>
      <c r="W78" s="168"/>
      <c r="X78" s="167"/>
      <c r="Y78" s="168"/>
      <c r="Z78" s="167"/>
      <c r="AA78" s="168"/>
      <c r="AB78" s="167"/>
      <c r="AC78" s="168"/>
      <c r="AD78" s="79">
        <f t="shared" ref="AD78:AE82" si="6">D78*3+F78*2+H78*2+J78*2+N78*3+P78*2+R78*2+T78*2+V78*3+X78*2+Z78*2+AB78*2</f>
        <v>8</v>
      </c>
      <c r="AE78" s="79">
        <f t="shared" si="6"/>
        <v>8</v>
      </c>
      <c r="AF78" s="8"/>
      <c r="AG78" s="8"/>
      <c r="AI78" s="215"/>
      <c r="AJ78" s="208"/>
    </row>
    <row r="79" spans="2:36" ht="25.35" customHeight="1">
      <c r="B79" s="551"/>
      <c r="C79" s="43" t="s">
        <v>64</v>
      </c>
      <c r="D79" s="103"/>
      <c r="E79" s="104"/>
      <c r="F79" s="103"/>
      <c r="G79" s="104"/>
      <c r="H79" s="103"/>
      <c r="I79" s="104"/>
      <c r="J79" s="103"/>
      <c r="K79" s="104"/>
      <c r="L79" s="103"/>
      <c r="M79" s="104"/>
      <c r="N79" s="129"/>
      <c r="O79" s="130"/>
      <c r="P79" s="129"/>
      <c r="Q79" s="130"/>
      <c r="R79" s="129">
        <v>2</v>
      </c>
      <c r="S79" s="130">
        <v>2</v>
      </c>
      <c r="T79" s="129"/>
      <c r="U79" s="130"/>
      <c r="V79" s="155"/>
      <c r="W79" s="156"/>
      <c r="X79" s="155"/>
      <c r="Y79" s="156"/>
      <c r="Z79" s="155"/>
      <c r="AA79" s="156"/>
      <c r="AB79" s="155"/>
      <c r="AC79" s="156"/>
      <c r="AD79" s="79">
        <f t="shared" si="6"/>
        <v>4</v>
      </c>
      <c r="AE79" s="79">
        <f t="shared" si="6"/>
        <v>4</v>
      </c>
      <c r="AF79" s="8"/>
      <c r="AG79" s="8"/>
      <c r="AI79" s="215"/>
      <c r="AJ79" s="208"/>
    </row>
    <row r="80" spans="2:36" ht="25.35" customHeight="1">
      <c r="B80" s="551"/>
      <c r="C80" s="56" t="s">
        <v>74</v>
      </c>
      <c r="D80" s="103"/>
      <c r="E80" s="104"/>
      <c r="F80" s="103"/>
      <c r="G80" s="104"/>
      <c r="H80" s="103"/>
      <c r="I80" s="104"/>
      <c r="J80" s="103"/>
      <c r="K80" s="104"/>
      <c r="L80" s="103"/>
      <c r="M80" s="104"/>
      <c r="N80" s="129"/>
      <c r="O80" s="130"/>
      <c r="P80" s="129"/>
      <c r="Q80" s="130"/>
      <c r="R80" s="129"/>
      <c r="S80" s="130"/>
      <c r="T80" s="129"/>
      <c r="U80" s="130"/>
      <c r="V80" s="155"/>
      <c r="W80" s="156"/>
      <c r="X80" s="155"/>
      <c r="Y80" s="156"/>
      <c r="Z80" s="155"/>
      <c r="AA80" s="156">
        <v>2</v>
      </c>
      <c r="AB80" s="155"/>
      <c r="AC80" s="156"/>
      <c r="AD80" s="79">
        <f t="shared" si="6"/>
        <v>0</v>
      </c>
      <c r="AE80" s="79">
        <f t="shared" si="6"/>
        <v>4</v>
      </c>
      <c r="AF80" s="8"/>
      <c r="AG80" s="8"/>
      <c r="AI80" s="216" t="s">
        <v>172</v>
      </c>
      <c r="AJ80" s="208"/>
    </row>
    <row r="81" spans="2:36" ht="25.35" customHeight="1">
      <c r="B81" s="551"/>
      <c r="C81" s="56" t="s">
        <v>75</v>
      </c>
      <c r="D81" s="103"/>
      <c r="E81" s="104"/>
      <c r="F81" s="103"/>
      <c r="G81" s="104"/>
      <c r="H81" s="103"/>
      <c r="I81" s="104"/>
      <c r="J81" s="103"/>
      <c r="K81" s="104"/>
      <c r="L81" s="103"/>
      <c r="M81" s="104"/>
      <c r="N81" s="129"/>
      <c r="O81" s="130"/>
      <c r="P81" s="129"/>
      <c r="Q81" s="130"/>
      <c r="R81" s="129"/>
      <c r="S81" s="130"/>
      <c r="T81" s="129"/>
      <c r="U81" s="130"/>
      <c r="V81" s="155"/>
      <c r="W81" s="156"/>
      <c r="X81" s="155"/>
      <c r="Y81" s="156"/>
      <c r="Z81" s="155">
        <v>2</v>
      </c>
      <c r="AA81" s="173"/>
      <c r="AB81" s="155"/>
      <c r="AC81" s="173"/>
      <c r="AD81" s="79">
        <f t="shared" si="6"/>
        <v>4</v>
      </c>
      <c r="AE81" s="79">
        <f t="shared" si="6"/>
        <v>0</v>
      </c>
      <c r="AF81" s="8"/>
      <c r="AG81" s="8"/>
      <c r="AI81" s="215"/>
      <c r="AJ81" s="208"/>
    </row>
    <row r="82" spans="2:36" ht="25.35" customHeight="1">
      <c r="B82" s="551"/>
      <c r="C82" s="56" t="s">
        <v>87</v>
      </c>
      <c r="D82" s="103"/>
      <c r="E82" s="104"/>
      <c r="F82" s="103"/>
      <c r="G82" s="104"/>
      <c r="H82" s="103"/>
      <c r="I82" s="104"/>
      <c r="J82" s="103"/>
      <c r="K82" s="104"/>
      <c r="L82" s="103"/>
      <c r="M82" s="104"/>
      <c r="N82" s="129"/>
      <c r="O82" s="130"/>
      <c r="P82" s="129"/>
      <c r="Q82" s="130"/>
      <c r="R82" s="129"/>
      <c r="S82" s="130"/>
      <c r="T82" s="129"/>
      <c r="U82" s="130"/>
      <c r="V82" s="155"/>
      <c r="W82" s="156"/>
      <c r="X82" s="155"/>
      <c r="Y82" s="156"/>
      <c r="Z82" s="155">
        <v>2</v>
      </c>
      <c r="AA82" s="173">
        <v>2</v>
      </c>
      <c r="AB82" s="155"/>
      <c r="AC82" s="156"/>
      <c r="AD82" s="79">
        <f t="shared" si="6"/>
        <v>4</v>
      </c>
      <c r="AE82" s="79">
        <f t="shared" si="6"/>
        <v>4</v>
      </c>
      <c r="AF82" s="8"/>
      <c r="AG82" s="8"/>
      <c r="AI82" s="215"/>
      <c r="AJ82" s="208"/>
    </row>
    <row r="83" spans="2:36" ht="25.35" customHeight="1">
      <c r="B83" s="551"/>
      <c r="C83" s="210" t="s">
        <v>162</v>
      </c>
      <c r="D83" s="103"/>
      <c r="E83" s="104"/>
      <c r="F83" s="103"/>
      <c r="G83" s="104"/>
      <c r="H83" s="103">
        <v>1</v>
      </c>
      <c r="I83" s="104">
        <v>1</v>
      </c>
      <c r="J83" s="103"/>
      <c r="K83" s="104"/>
      <c r="L83" s="103"/>
      <c r="M83" s="104"/>
      <c r="N83" s="129"/>
      <c r="O83" s="130"/>
      <c r="P83" s="129"/>
      <c r="Q83" s="130"/>
      <c r="R83" s="129"/>
      <c r="S83" s="130"/>
      <c r="T83" s="129"/>
      <c r="U83" s="130"/>
      <c r="V83" s="155"/>
      <c r="W83" s="156"/>
      <c r="X83" s="155"/>
      <c r="Y83" s="156"/>
      <c r="Z83" s="155"/>
      <c r="AA83" s="156"/>
      <c r="AB83" s="155"/>
      <c r="AC83" s="156"/>
      <c r="AD83" s="213">
        <v>2</v>
      </c>
      <c r="AE83" s="213">
        <v>2</v>
      </c>
      <c r="AF83" s="8"/>
      <c r="AG83" s="8"/>
      <c r="AI83" s="215" t="s">
        <v>177</v>
      </c>
      <c r="AJ83" s="208"/>
    </row>
    <row r="84" spans="2:36" ht="25.35" customHeight="1">
      <c r="B84" s="552"/>
      <c r="C84" s="211" t="s">
        <v>163</v>
      </c>
      <c r="D84" s="103"/>
      <c r="E84" s="104"/>
      <c r="F84" s="103"/>
      <c r="G84" s="104"/>
      <c r="H84" s="103"/>
      <c r="I84" s="104"/>
      <c r="J84" s="103"/>
      <c r="K84" s="104"/>
      <c r="L84" s="103"/>
      <c r="M84" s="104"/>
      <c r="N84" s="129"/>
      <c r="O84" s="130"/>
      <c r="P84" s="129"/>
      <c r="Q84" s="130"/>
      <c r="R84" s="129">
        <v>2</v>
      </c>
      <c r="S84" s="130"/>
      <c r="T84" s="129"/>
      <c r="U84" s="130"/>
      <c r="V84" s="155"/>
      <c r="W84" s="156"/>
      <c r="X84" s="155"/>
      <c r="Y84" s="156"/>
      <c r="Z84" s="155"/>
      <c r="AA84" s="173"/>
      <c r="AB84" s="155"/>
      <c r="AC84" s="156"/>
      <c r="AD84" s="79">
        <v>2</v>
      </c>
      <c r="AE84" s="79">
        <v>0</v>
      </c>
      <c r="AF84" s="9"/>
      <c r="AG84" s="96"/>
      <c r="AI84" s="216" t="s">
        <v>165</v>
      </c>
      <c r="AJ84" s="208"/>
    </row>
    <row r="85" spans="2:36" ht="25.35" customHeight="1">
      <c r="B85" s="552"/>
      <c r="C85" s="211" t="s">
        <v>164</v>
      </c>
      <c r="D85" s="103"/>
      <c r="E85" s="104"/>
      <c r="F85" s="103"/>
      <c r="G85" s="104"/>
      <c r="H85" s="103"/>
      <c r="I85" s="104"/>
      <c r="J85" s="103"/>
      <c r="K85" s="104"/>
      <c r="L85" s="103"/>
      <c r="M85" s="104"/>
      <c r="N85" s="129"/>
      <c r="O85" s="130"/>
      <c r="P85" s="129"/>
      <c r="Q85" s="130"/>
      <c r="R85" s="129">
        <v>2</v>
      </c>
      <c r="S85" s="130"/>
      <c r="T85" s="129"/>
      <c r="U85" s="130"/>
      <c r="V85" s="155"/>
      <c r="W85" s="156"/>
      <c r="X85" s="155"/>
      <c r="Y85" s="156"/>
      <c r="Z85" s="174"/>
      <c r="AA85" s="173"/>
      <c r="AB85" s="155"/>
      <c r="AC85" s="156"/>
      <c r="AD85" s="79">
        <v>2</v>
      </c>
      <c r="AE85" s="79">
        <v>0</v>
      </c>
      <c r="AF85" s="9"/>
      <c r="AG85" s="96"/>
      <c r="AI85" s="215" t="s">
        <v>178</v>
      </c>
      <c r="AJ85" s="208"/>
    </row>
    <row r="86" spans="2:36" ht="25.35" customHeight="1">
      <c r="B86" s="552"/>
      <c r="C86" s="210" t="s">
        <v>166</v>
      </c>
      <c r="D86" s="103"/>
      <c r="E86" s="104"/>
      <c r="F86" s="103"/>
      <c r="G86" s="104"/>
      <c r="H86" s="103"/>
      <c r="I86" s="104"/>
      <c r="J86" s="103"/>
      <c r="K86" s="104"/>
      <c r="L86" s="103"/>
      <c r="M86" s="104"/>
      <c r="N86" s="129"/>
      <c r="O86" s="130"/>
      <c r="P86" s="129"/>
      <c r="Q86" s="130"/>
      <c r="R86" s="129"/>
      <c r="S86" s="130">
        <v>2</v>
      </c>
      <c r="T86" s="129"/>
      <c r="U86" s="130"/>
      <c r="V86" s="155"/>
      <c r="W86" s="156"/>
      <c r="X86" s="155"/>
      <c r="Y86" s="156"/>
      <c r="Z86" s="174"/>
      <c r="AA86" s="173"/>
      <c r="AB86" s="155"/>
      <c r="AC86" s="156"/>
      <c r="AD86" s="79">
        <v>0</v>
      </c>
      <c r="AE86" s="79">
        <v>2</v>
      </c>
      <c r="AF86" s="9"/>
      <c r="AG86" s="96"/>
      <c r="AI86" s="215" t="s">
        <v>179</v>
      </c>
      <c r="AJ86" s="209"/>
    </row>
    <row r="87" spans="2:36" ht="25.35" customHeight="1">
      <c r="B87" s="552"/>
      <c r="C87" s="211" t="s">
        <v>167</v>
      </c>
      <c r="D87" s="103"/>
      <c r="E87" s="104"/>
      <c r="F87" s="103"/>
      <c r="G87" s="104"/>
      <c r="H87" s="103"/>
      <c r="I87" s="104"/>
      <c r="J87" s="103"/>
      <c r="K87" s="104"/>
      <c r="L87" s="103"/>
      <c r="M87" s="104"/>
      <c r="N87" s="129"/>
      <c r="O87" s="130"/>
      <c r="P87" s="129"/>
      <c r="Q87" s="130"/>
      <c r="R87" s="129"/>
      <c r="S87" s="130">
        <v>2</v>
      </c>
      <c r="T87" s="129"/>
      <c r="U87" s="130"/>
      <c r="V87" s="155"/>
      <c r="W87" s="156"/>
      <c r="X87" s="155"/>
      <c r="Y87" s="156"/>
      <c r="Z87" s="155"/>
      <c r="AA87" s="156"/>
      <c r="AB87" s="155"/>
      <c r="AC87" s="156"/>
      <c r="AD87" s="79">
        <v>0</v>
      </c>
      <c r="AE87" s="79">
        <v>2</v>
      </c>
      <c r="AF87" s="9"/>
      <c r="AG87" s="96"/>
      <c r="AI87" s="215" t="s">
        <v>179</v>
      </c>
      <c r="AJ87" s="208"/>
    </row>
    <row r="88" spans="2:36" ht="25.35" customHeight="1">
      <c r="B88" s="552"/>
      <c r="C88" s="211" t="s">
        <v>168</v>
      </c>
      <c r="D88" s="103"/>
      <c r="E88" s="104"/>
      <c r="F88" s="103"/>
      <c r="G88" s="104"/>
      <c r="H88" s="103"/>
      <c r="I88" s="104"/>
      <c r="J88" s="103"/>
      <c r="K88" s="104"/>
      <c r="L88" s="103"/>
      <c r="M88" s="104"/>
      <c r="N88" s="129"/>
      <c r="O88" s="130"/>
      <c r="P88" s="129"/>
      <c r="Q88" s="130"/>
      <c r="R88" s="129"/>
      <c r="S88" s="130">
        <v>1</v>
      </c>
      <c r="T88" s="129"/>
      <c r="U88" s="130"/>
      <c r="V88" s="155"/>
      <c r="W88" s="156"/>
      <c r="X88" s="155"/>
      <c r="Y88" s="156"/>
      <c r="Z88" s="155"/>
      <c r="AA88" s="156"/>
      <c r="AB88" s="155"/>
      <c r="AC88" s="156"/>
      <c r="AD88" s="79">
        <v>0</v>
      </c>
      <c r="AE88" s="79">
        <v>1</v>
      </c>
      <c r="AF88" s="9"/>
      <c r="AG88" s="96"/>
      <c r="AI88" s="215" t="s">
        <v>180</v>
      </c>
      <c r="AJ88" s="208"/>
    </row>
    <row r="89" spans="2:36" ht="25.35" customHeight="1">
      <c r="B89" s="552"/>
      <c r="C89" s="211" t="s">
        <v>169</v>
      </c>
      <c r="D89" s="103"/>
      <c r="E89" s="104"/>
      <c r="F89" s="103"/>
      <c r="G89" s="104"/>
      <c r="H89" s="103"/>
      <c r="I89" s="104"/>
      <c r="J89" s="103"/>
      <c r="K89" s="104"/>
      <c r="L89" s="103"/>
      <c r="M89" s="104"/>
      <c r="N89" s="129"/>
      <c r="O89" s="130"/>
      <c r="P89" s="129"/>
      <c r="Q89" s="130"/>
      <c r="R89" s="129"/>
      <c r="S89" s="130">
        <v>1</v>
      </c>
      <c r="T89" s="129"/>
      <c r="U89" s="130"/>
      <c r="V89" s="155"/>
      <c r="W89" s="156"/>
      <c r="X89" s="155"/>
      <c r="Y89" s="156"/>
      <c r="Z89" s="155"/>
      <c r="AA89" s="156"/>
      <c r="AB89" s="155"/>
      <c r="AC89" s="156"/>
      <c r="AD89" s="79">
        <v>0</v>
      </c>
      <c r="AE89" s="79">
        <v>1</v>
      </c>
      <c r="AF89" s="9"/>
      <c r="AG89" s="96"/>
      <c r="AI89" s="215" t="s">
        <v>180</v>
      </c>
      <c r="AJ89" s="208"/>
    </row>
    <row r="90" spans="2:36" ht="25.35" customHeight="1">
      <c r="B90" s="552"/>
      <c r="C90" s="211" t="s">
        <v>170</v>
      </c>
      <c r="D90" s="103"/>
      <c r="E90" s="104"/>
      <c r="F90" s="103"/>
      <c r="G90" s="104"/>
      <c r="H90" s="103"/>
      <c r="I90" s="104"/>
      <c r="J90" s="103"/>
      <c r="K90" s="104"/>
      <c r="L90" s="103"/>
      <c r="M90" s="104"/>
      <c r="N90" s="129"/>
      <c r="O90" s="130"/>
      <c r="P90" s="129"/>
      <c r="Q90" s="130"/>
      <c r="R90" s="129">
        <v>1</v>
      </c>
      <c r="S90" s="130"/>
      <c r="T90" s="129"/>
      <c r="U90" s="130"/>
      <c r="V90" s="155"/>
      <c r="W90" s="156"/>
      <c r="X90" s="155"/>
      <c r="Y90" s="156"/>
      <c r="Z90" s="155"/>
      <c r="AA90" s="156"/>
      <c r="AB90" s="155"/>
      <c r="AC90" s="156"/>
      <c r="AD90" s="79">
        <v>1</v>
      </c>
      <c r="AE90" s="79">
        <v>0</v>
      </c>
      <c r="AF90" s="9"/>
      <c r="AG90" s="96"/>
      <c r="AI90" s="215" t="s">
        <v>181</v>
      </c>
      <c r="AJ90" s="208"/>
    </row>
    <row r="91" spans="2:36" ht="25.35" customHeight="1">
      <c r="B91" s="552"/>
      <c r="C91" s="211" t="s">
        <v>171</v>
      </c>
      <c r="D91" s="103"/>
      <c r="E91" s="104"/>
      <c r="F91" s="103"/>
      <c r="G91" s="104"/>
      <c r="H91" s="103"/>
      <c r="I91" s="104"/>
      <c r="J91" s="103"/>
      <c r="K91" s="104"/>
      <c r="L91" s="103"/>
      <c r="M91" s="104"/>
      <c r="N91" s="129"/>
      <c r="O91" s="130"/>
      <c r="P91" s="129"/>
      <c r="Q91" s="130"/>
      <c r="R91" s="129">
        <v>1</v>
      </c>
      <c r="S91" s="130"/>
      <c r="T91" s="129"/>
      <c r="U91" s="130"/>
      <c r="V91" s="155"/>
      <c r="W91" s="156"/>
      <c r="X91" s="155"/>
      <c r="Y91" s="156"/>
      <c r="Z91" s="155"/>
      <c r="AA91" s="156"/>
      <c r="AB91" s="155"/>
      <c r="AC91" s="156"/>
      <c r="AD91" s="79">
        <v>1</v>
      </c>
      <c r="AE91" s="79">
        <v>0</v>
      </c>
      <c r="AF91" s="9"/>
      <c r="AG91" s="96"/>
      <c r="AI91" s="215" t="s">
        <v>182</v>
      </c>
      <c r="AJ91" s="208"/>
    </row>
    <row r="92" spans="2:36" ht="25.35" customHeight="1" thickBot="1">
      <c r="B92" s="552"/>
      <c r="C92" s="212" t="s">
        <v>127</v>
      </c>
      <c r="D92" s="103"/>
      <c r="E92" s="104"/>
      <c r="F92" s="103"/>
      <c r="G92" s="104"/>
      <c r="H92" s="103"/>
      <c r="I92" s="104"/>
      <c r="J92" s="103"/>
      <c r="K92" s="104"/>
      <c r="L92" s="111"/>
      <c r="M92" s="112"/>
      <c r="N92" s="129"/>
      <c r="O92" s="130"/>
      <c r="P92" s="129"/>
      <c r="Q92" s="130"/>
      <c r="R92" s="129"/>
      <c r="S92" s="130"/>
      <c r="T92" s="129"/>
      <c r="U92" s="130"/>
      <c r="V92" s="155"/>
      <c r="W92" s="156"/>
      <c r="X92" s="155"/>
      <c r="Y92" s="156"/>
      <c r="Z92" s="155"/>
      <c r="AA92" s="156"/>
      <c r="AB92" s="155"/>
      <c r="AC92" s="156"/>
      <c r="AD92" s="79"/>
      <c r="AE92" s="79"/>
      <c r="AF92" s="9"/>
      <c r="AG92" s="96"/>
      <c r="AI92" s="216" t="s">
        <v>173</v>
      </c>
      <c r="AJ92" s="208"/>
    </row>
    <row r="93" spans="2:36" ht="25.35" customHeight="1" thickTop="1">
      <c r="B93" s="550" t="s">
        <v>22</v>
      </c>
      <c r="C93" s="59" t="s">
        <v>56</v>
      </c>
      <c r="D93" s="101">
        <v>1</v>
      </c>
      <c r="E93" s="102">
        <v>1</v>
      </c>
      <c r="F93" s="101">
        <v>1</v>
      </c>
      <c r="G93" s="102">
        <v>1</v>
      </c>
      <c r="H93" s="101">
        <v>1</v>
      </c>
      <c r="I93" s="102">
        <v>1</v>
      </c>
      <c r="J93" s="101">
        <v>1</v>
      </c>
      <c r="K93" s="102">
        <v>1</v>
      </c>
      <c r="L93" s="101">
        <v>1</v>
      </c>
      <c r="M93" s="102">
        <v>1</v>
      </c>
      <c r="N93" s="128"/>
      <c r="O93" s="139"/>
      <c r="P93" s="128"/>
      <c r="Q93" s="139"/>
      <c r="R93" s="128"/>
      <c r="S93" s="139"/>
      <c r="T93" s="128"/>
      <c r="U93" s="139"/>
      <c r="V93" s="153"/>
      <c r="W93" s="154"/>
      <c r="X93" s="153"/>
      <c r="Y93" s="154"/>
      <c r="Z93" s="153"/>
      <c r="AA93" s="154"/>
      <c r="AB93" s="153"/>
      <c r="AC93" s="154"/>
      <c r="AD93" s="75">
        <f>D93*2+F93*2+H93*2+J93*2+N93*3+P93*2+R93*2+T93*2+V93*3+X93*2+Z93*2+AB93*2+L93</f>
        <v>9</v>
      </c>
      <c r="AE93" s="75">
        <f>E93*2+G93*2+I93*2+K93*2+O93*3+Q93*2+S93*2+U93*2+W93*3+Y93*2+AA93*2+AC93*2+M93</f>
        <v>9</v>
      </c>
      <c r="AF93" s="5">
        <f>SUM(AD93:AD117)</f>
        <v>132</v>
      </c>
      <c r="AG93" s="5">
        <f>SUM(AE93:AE117)</f>
        <v>124</v>
      </c>
    </row>
    <row r="94" spans="2:36" ht="25.35" customHeight="1">
      <c r="B94" s="551"/>
      <c r="C94" s="55" t="s">
        <v>155</v>
      </c>
      <c r="D94" s="115"/>
      <c r="E94" s="116"/>
      <c r="F94" s="115"/>
      <c r="G94" s="116"/>
      <c r="H94" s="115"/>
      <c r="I94" s="116"/>
      <c r="J94" s="115"/>
      <c r="K94" s="116"/>
      <c r="L94" s="115"/>
      <c r="M94" s="116"/>
      <c r="N94" s="140"/>
      <c r="O94" s="130"/>
      <c r="P94" s="129"/>
      <c r="Q94" s="130"/>
      <c r="R94" s="129"/>
      <c r="S94" s="130"/>
      <c r="T94" s="129"/>
      <c r="U94" s="130"/>
      <c r="V94" s="167"/>
      <c r="W94" s="168"/>
      <c r="X94" s="167"/>
      <c r="Y94" s="168"/>
      <c r="Z94" s="167"/>
      <c r="AA94" s="168"/>
      <c r="AB94" s="167"/>
      <c r="AC94" s="168"/>
      <c r="AD94" s="83">
        <v>2</v>
      </c>
      <c r="AE94" s="83">
        <v>2</v>
      </c>
      <c r="AF94" s="8"/>
      <c r="AG94" s="8"/>
    </row>
    <row r="95" spans="2:36" ht="25.35" customHeight="1">
      <c r="B95" s="551"/>
      <c r="C95" s="55" t="s">
        <v>57</v>
      </c>
      <c r="D95" s="115">
        <v>2</v>
      </c>
      <c r="E95" s="116">
        <v>2</v>
      </c>
      <c r="F95" s="115">
        <v>2</v>
      </c>
      <c r="G95" s="116">
        <v>2</v>
      </c>
      <c r="H95" s="115">
        <v>2</v>
      </c>
      <c r="I95" s="116">
        <v>2</v>
      </c>
      <c r="J95" s="115">
        <v>2</v>
      </c>
      <c r="K95" s="116">
        <v>2</v>
      </c>
      <c r="L95" s="115"/>
      <c r="M95" s="116"/>
      <c r="N95" s="129"/>
      <c r="O95" s="130"/>
      <c r="P95" s="129"/>
      <c r="Q95" s="130"/>
      <c r="R95" s="129"/>
      <c r="S95" s="130"/>
      <c r="T95" s="129"/>
      <c r="U95" s="130"/>
      <c r="V95" s="167"/>
      <c r="W95" s="168"/>
      <c r="X95" s="167"/>
      <c r="Y95" s="168"/>
      <c r="Z95" s="167"/>
      <c r="AA95" s="168"/>
      <c r="AB95" s="167"/>
      <c r="AC95" s="168"/>
      <c r="AD95" s="79">
        <f>D95*2+F95*2+H95*2+J95*2</f>
        <v>16</v>
      </c>
      <c r="AE95" s="79">
        <f>E95*2+G95*2+I95*2+K95*2+O95*3+Q95*2+S95*2+U95*2+W95*3+Y95*2+AA95*2+AC95*2+M95</f>
        <v>16</v>
      </c>
      <c r="AF95" s="8"/>
      <c r="AG95" s="8"/>
    </row>
    <row r="96" spans="2:36" ht="25.35" customHeight="1">
      <c r="B96" s="551"/>
      <c r="C96" s="55" t="s">
        <v>72</v>
      </c>
      <c r="D96" s="103"/>
      <c r="E96" s="104"/>
      <c r="F96" s="103"/>
      <c r="G96" s="104"/>
      <c r="H96" s="103"/>
      <c r="I96" s="104"/>
      <c r="J96" s="103"/>
      <c r="K96" s="104"/>
      <c r="L96" s="103"/>
      <c r="M96" s="104"/>
      <c r="N96" s="129">
        <v>2</v>
      </c>
      <c r="O96" s="130">
        <v>2</v>
      </c>
      <c r="P96" s="129">
        <v>2</v>
      </c>
      <c r="Q96" s="130">
        <v>2</v>
      </c>
      <c r="R96" s="129">
        <v>2</v>
      </c>
      <c r="S96" s="130">
        <v>2</v>
      </c>
      <c r="T96" s="129">
        <v>2</v>
      </c>
      <c r="U96" s="130">
        <v>2</v>
      </c>
      <c r="V96" s="155"/>
      <c r="W96" s="156"/>
      <c r="X96" s="155"/>
      <c r="Y96" s="156"/>
      <c r="Z96" s="155"/>
      <c r="AA96" s="156"/>
      <c r="AB96" s="155"/>
      <c r="AC96" s="156"/>
      <c r="AD96" s="79">
        <f>D96*3+F96*2+H96*2+J96*2+N96*3+P96*2+R96*2+T96*2+V96*3+X96*2+Z96*2+AB96*2</f>
        <v>18</v>
      </c>
      <c r="AE96" s="79">
        <f>E96*3+G96*2+I96*2+K96*2+O96*3+Q96*2+S96*2+U96*2+W96*3+Y96*2+AA96*2+AC96*2</f>
        <v>18</v>
      </c>
      <c r="AF96" s="8"/>
      <c r="AG96" s="8"/>
    </row>
    <row r="97" spans="2:33" ht="25.35" customHeight="1">
      <c r="B97" s="551"/>
      <c r="C97" s="55" t="s">
        <v>105</v>
      </c>
      <c r="D97" s="103">
        <v>1</v>
      </c>
      <c r="E97" s="104">
        <v>1</v>
      </c>
      <c r="F97" s="103"/>
      <c r="G97" s="104"/>
      <c r="H97" s="103"/>
      <c r="I97" s="104"/>
      <c r="J97" s="103"/>
      <c r="K97" s="104"/>
      <c r="L97" s="103"/>
      <c r="M97" s="104"/>
      <c r="N97" s="129"/>
      <c r="O97" s="130"/>
      <c r="P97" s="129"/>
      <c r="Q97" s="130"/>
      <c r="R97" s="129"/>
      <c r="S97" s="130"/>
      <c r="T97" s="129"/>
      <c r="U97" s="130"/>
      <c r="V97" s="155"/>
      <c r="W97" s="156"/>
      <c r="X97" s="155"/>
      <c r="Y97" s="156"/>
      <c r="Z97" s="155"/>
      <c r="AA97" s="156"/>
      <c r="AB97" s="155"/>
      <c r="AC97" s="156"/>
      <c r="AD97" s="79">
        <f>D97*2</f>
        <v>2</v>
      </c>
      <c r="AE97" s="79">
        <f>E97*2</f>
        <v>2</v>
      </c>
      <c r="AF97" s="8"/>
      <c r="AG97" s="8"/>
    </row>
    <row r="98" spans="2:33" ht="25.35" customHeight="1">
      <c r="B98" s="551"/>
      <c r="C98" s="55" t="s">
        <v>156</v>
      </c>
      <c r="D98" s="119"/>
      <c r="E98" s="120"/>
      <c r="F98" s="103"/>
      <c r="G98" s="104"/>
      <c r="H98" s="103"/>
      <c r="I98" s="104"/>
      <c r="J98" s="103"/>
      <c r="K98" s="104"/>
      <c r="L98" s="103"/>
      <c r="M98" s="104"/>
      <c r="N98" s="129"/>
      <c r="O98" s="130"/>
      <c r="P98" s="129"/>
      <c r="Q98" s="130"/>
      <c r="R98" s="129"/>
      <c r="S98" s="130"/>
      <c r="T98" s="129"/>
      <c r="U98" s="130"/>
      <c r="V98" s="155">
        <v>4</v>
      </c>
      <c r="W98" s="156">
        <v>4</v>
      </c>
      <c r="X98" s="155">
        <v>3</v>
      </c>
      <c r="Y98" s="156">
        <v>3</v>
      </c>
      <c r="Z98" s="155">
        <v>3</v>
      </c>
      <c r="AA98" s="156">
        <v>3</v>
      </c>
      <c r="AB98" s="155">
        <v>3</v>
      </c>
      <c r="AC98" s="156">
        <v>3</v>
      </c>
      <c r="AD98" s="79">
        <f>V98*3+X98*2+Z98*2+AB98*2</f>
        <v>30</v>
      </c>
      <c r="AE98" s="79">
        <f>W98*3+Y98*2+AA98*2+AC98*2</f>
        <v>30</v>
      </c>
      <c r="AF98" s="8"/>
      <c r="AG98" s="8"/>
    </row>
    <row r="99" spans="2:33" ht="25.35" customHeight="1">
      <c r="B99" s="551"/>
      <c r="C99" s="86" t="s">
        <v>119</v>
      </c>
      <c r="D99" s="103"/>
      <c r="E99" s="104"/>
      <c r="F99" s="103"/>
      <c r="G99" s="104"/>
      <c r="H99" s="103"/>
      <c r="I99" s="104"/>
      <c r="J99" s="103"/>
      <c r="K99" s="104"/>
      <c r="L99" s="103"/>
      <c r="M99" s="104"/>
      <c r="N99" s="129"/>
      <c r="O99" s="130"/>
      <c r="P99" s="129"/>
      <c r="Q99" s="130"/>
      <c r="R99" s="129">
        <v>2</v>
      </c>
      <c r="S99" s="130">
        <v>0</v>
      </c>
      <c r="T99" s="129"/>
      <c r="U99" s="130"/>
      <c r="V99" s="155"/>
      <c r="W99" s="156"/>
      <c r="X99" s="155"/>
      <c r="Y99" s="156"/>
      <c r="Z99" s="155"/>
      <c r="AA99" s="156"/>
      <c r="AB99" s="155"/>
      <c r="AC99" s="156"/>
      <c r="AD99" s="79">
        <v>2</v>
      </c>
      <c r="AE99" s="79">
        <v>0</v>
      </c>
      <c r="AF99" s="8"/>
      <c r="AG99" s="8"/>
    </row>
    <row r="100" spans="2:33" ht="25.35" customHeight="1">
      <c r="B100" s="551"/>
      <c r="C100" s="86" t="s">
        <v>118</v>
      </c>
      <c r="D100" s="103"/>
      <c r="E100" s="104"/>
      <c r="F100" s="103"/>
      <c r="G100" s="104"/>
      <c r="H100" s="103"/>
      <c r="I100" s="104"/>
      <c r="J100" s="103"/>
      <c r="K100" s="104"/>
      <c r="L100" s="103"/>
      <c r="M100" s="104"/>
      <c r="N100" s="129">
        <v>2</v>
      </c>
      <c r="O100" s="130"/>
      <c r="P100" s="129"/>
      <c r="Q100" s="130"/>
      <c r="R100" s="129"/>
      <c r="S100" s="130"/>
      <c r="T100" s="129"/>
      <c r="U100" s="130"/>
      <c r="V100" s="155"/>
      <c r="W100" s="156"/>
      <c r="X100" s="155"/>
      <c r="Y100" s="156"/>
      <c r="Z100" s="155"/>
      <c r="AA100" s="156"/>
      <c r="AB100" s="155"/>
      <c r="AC100" s="156"/>
      <c r="AD100" s="79">
        <v>2</v>
      </c>
      <c r="AE100" s="79">
        <v>0</v>
      </c>
      <c r="AF100" s="8"/>
      <c r="AG100" s="8"/>
    </row>
    <row r="101" spans="2:33" ht="25.35" customHeight="1">
      <c r="B101" s="552"/>
      <c r="C101" s="55" t="s">
        <v>63</v>
      </c>
      <c r="D101" s="119">
        <v>2</v>
      </c>
      <c r="E101" s="120">
        <v>2</v>
      </c>
      <c r="F101" s="103"/>
      <c r="G101" s="104"/>
      <c r="H101" s="103"/>
      <c r="I101" s="104"/>
      <c r="J101" s="103"/>
      <c r="K101" s="104"/>
      <c r="L101" s="103"/>
      <c r="M101" s="104"/>
      <c r="N101" s="129"/>
      <c r="O101" s="130"/>
      <c r="P101" s="129"/>
      <c r="Q101" s="130"/>
      <c r="R101" s="129"/>
      <c r="S101" s="130"/>
      <c r="T101" s="129"/>
      <c r="U101" s="130"/>
      <c r="V101" s="155"/>
      <c r="W101" s="156"/>
      <c r="X101" s="155"/>
      <c r="Y101" s="156"/>
      <c r="Z101" s="155"/>
      <c r="AA101" s="156"/>
      <c r="AB101" s="155"/>
      <c r="AC101" s="156"/>
      <c r="AD101" s="79">
        <f>D101*2+F101*2+H101*2+J101*2+N101*3+P101*2+R101*2+T101*2+V101*3+X101*2+Z101*2+AB101*2</f>
        <v>4</v>
      </c>
      <c r="AE101" s="79">
        <f>E101*2+G101*2+I101*2+K101*2+O101*3+Q101*2+S101*2+U101*2+W101*3+Y101*2+AA101*2+AC101*2</f>
        <v>4</v>
      </c>
      <c r="AF101" s="96"/>
      <c r="AG101" s="96"/>
    </row>
    <row r="102" spans="2:33" ht="25.35" customHeight="1">
      <c r="B102" s="552"/>
      <c r="C102" s="55" t="s">
        <v>66</v>
      </c>
      <c r="D102" s="103">
        <v>2</v>
      </c>
      <c r="E102" s="104">
        <v>2</v>
      </c>
      <c r="F102" s="103"/>
      <c r="G102" s="104"/>
      <c r="H102" s="103"/>
      <c r="I102" s="104"/>
      <c r="J102" s="103"/>
      <c r="K102" s="104"/>
      <c r="L102" s="103"/>
      <c r="M102" s="104"/>
      <c r="N102" s="129">
        <v>2</v>
      </c>
      <c r="O102" s="130">
        <v>2</v>
      </c>
      <c r="P102" s="129"/>
      <c r="Q102" s="130"/>
      <c r="R102" s="129"/>
      <c r="S102" s="130"/>
      <c r="T102" s="129"/>
      <c r="U102" s="130"/>
      <c r="V102" s="155"/>
      <c r="W102" s="156"/>
      <c r="X102" s="155"/>
      <c r="Y102" s="156"/>
      <c r="Z102" s="155"/>
      <c r="AA102" s="156"/>
      <c r="AB102" s="155"/>
      <c r="AC102" s="156"/>
      <c r="AD102" s="79">
        <f>D102*2+F102*2+H102*2+J102*2+N102*3+P102*2+R102*2+T102*2+V102*3+X102*2+Z102*2+AB102*2</f>
        <v>10</v>
      </c>
      <c r="AE102" s="79">
        <f>E102*2+G102*2+I102*2+K102*2+O102*3+Q102*2+S102*2+U102*2+W102*3+Y102*2+AA102*2+AC102*2</f>
        <v>10</v>
      </c>
      <c r="AF102" s="96"/>
      <c r="AG102" s="96"/>
    </row>
    <row r="103" spans="2:33" ht="25.35" customHeight="1">
      <c r="B103" s="552"/>
      <c r="C103" s="55" t="s">
        <v>117</v>
      </c>
      <c r="D103" s="103"/>
      <c r="E103" s="104"/>
      <c r="F103" s="103"/>
      <c r="G103" s="104"/>
      <c r="H103" s="103"/>
      <c r="I103" s="104"/>
      <c r="J103" s="103"/>
      <c r="K103" s="104"/>
      <c r="L103" s="103"/>
      <c r="M103" s="104"/>
      <c r="N103" s="129">
        <v>3</v>
      </c>
      <c r="O103" s="130">
        <v>3</v>
      </c>
      <c r="P103" s="129"/>
      <c r="Q103" s="130"/>
      <c r="R103" s="129"/>
      <c r="S103" s="130"/>
      <c r="T103" s="129"/>
      <c r="U103" s="130"/>
      <c r="V103" s="155"/>
      <c r="W103" s="156"/>
      <c r="X103" s="155"/>
      <c r="Y103" s="156"/>
      <c r="Z103" s="155"/>
      <c r="AA103" s="156"/>
      <c r="AB103" s="155"/>
      <c r="AC103" s="156"/>
      <c r="AD103" s="79">
        <v>9</v>
      </c>
      <c r="AE103" s="79">
        <v>9</v>
      </c>
      <c r="AF103" s="96"/>
      <c r="AG103" s="96"/>
    </row>
    <row r="104" spans="2:33" ht="25.35" customHeight="1">
      <c r="B104" s="552"/>
      <c r="C104" s="86" t="s">
        <v>124</v>
      </c>
      <c r="D104" s="103"/>
      <c r="E104" s="104"/>
      <c r="F104" s="103"/>
      <c r="G104" s="104"/>
      <c r="H104" s="103"/>
      <c r="I104" s="104"/>
      <c r="J104" s="103"/>
      <c r="K104" s="104"/>
      <c r="L104" s="103"/>
      <c r="M104" s="104"/>
      <c r="N104" s="129"/>
      <c r="O104" s="130"/>
      <c r="P104" s="129">
        <v>2</v>
      </c>
      <c r="Q104" s="130"/>
      <c r="R104" s="129"/>
      <c r="S104" s="130"/>
      <c r="T104" s="129"/>
      <c r="U104" s="130"/>
      <c r="V104" s="155"/>
      <c r="W104" s="156"/>
      <c r="X104" s="155"/>
      <c r="Y104" s="156"/>
      <c r="Z104" s="155"/>
      <c r="AA104" s="156"/>
      <c r="AB104" s="155"/>
      <c r="AC104" s="156"/>
      <c r="AD104" s="79">
        <v>2</v>
      </c>
      <c r="AE104" s="79">
        <v>0</v>
      </c>
      <c r="AF104" s="96"/>
      <c r="AG104" s="96"/>
    </row>
    <row r="105" spans="2:33" ht="25.35" customHeight="1">
      <c r="B105" s="552"/>
      <c r="C105" s="86" t="s">
        <v>108</v>
      </c>
      <c r="D105" s="103"/>
      <c r="E105" s="104"/>
      <c r="F105" s="103"/>
      <c r="G105" s="104"/>
      <c r="H105" s="103"/>
      <c r="I105" s="104"/>
      <c r="J105" s="103"/>
      <c r="K105" s="104"/>
      <c r="L105" s="103"/>
      <c r="M105" s="104"/>
      <c r="N105" s="129"/>
      <c r="O105" s="130">
        <v>2</v>
      </c>
      <c r="P105" s="129"/>
      <c r="Q105" s="130"/>
      <c r="R105" s="129"/>
      <c r="S105" s="130"/>
      <c r="T105" s="129"/>
      <c r="U105" s="130"/>
      <c r="V105" s="155"/>
      <c r="W105" s="156"/>
      <c r="X105" s="155"/>
      <c r="Y105" s="156"/>
      <c r="Z105" s="155"/>
      <c r="AA105" s="156"/>
      <c r="AB105" s="155"/>
      <c r="AC105" s="156"/>
      <c r="AD105" s="79">
        <v>0</v>
      </c>
      <c r="AE105" s="79">
        <v>2</v>
      </c>
      <c r="AF105" s="96"/>
      <c r="AG105" s="96"/>
    </row>
    <row r="106" spans="2:33" ht="25.35" customHeight="1">
      <c r="B106" s="552"/>
      <c r="C106" s="86" t="s">
        <v>113</v>
      </c>
      <c r="D106" s="103"/>
      <c r="E106" s="104"/>
      <c r="F106" s="103"/>
      <c r="G106" s="104"/>
      <c r="H106" s="103"/>
      <c r="I106" s="104"/>
      <c r="J106" s="103"/>
      <c r="K106" s="104"/>
      <c r="L106" s="103"/>
      <c r="M106" s="104"/>
      <c r="N106" s="129"/>
      <c r="O106" s="130">
        <v>2</v>
      </c>
      <c r="P106" s="129"/>
      <c r="Q106" s="130"/>
      <c r="R106" s="129"/>
      <c r="S106" s="130"/>
      <c r="T106" s="129"/>
      <c r="U106" s="130"/>
      <c r="V106" s="155"/>
      <c r="W106" s="156"/>
      <c r="X106" s="155"/>
      <c r="Y106" s="156"/>
      <c r="Z106" s="155"/>
      <c r="AA106" s="156"/>
      <c r="AB106" s="155"/>
      <c r="AC106" s="156"/>
      <c r="AD106" s="79">
        <v>0</v>
      </c>
      <c r="AE106" s="79">
        <v>2</v>
      </c>
      <c r="AF106" s="96"/>
      <c r="AG106" s="96"/>
    </row>
    <row r="107" spans="2:33" ht="25.35" customHeight="1">
      <c r="B107" s="552"/>
      <c r="C107" s="86" t="s">
        <v>116</v>
      </c>
      <c r="D107" s="115"/>
      <c r="E107" s="116"/>
      <c r="F107" s="115"/>
      <c r="G107" s="116"/>
      <c r="H107" s="115"/>
      <c r="I107" s="116"/>
      <c r="J107" s="115"/>
      <c r="K107" s="116"/>
      <c r="L107" s="115"/>
      <c r="M107" s="116"/>
      <c r="N107" s="129">
        <v>2</v>
      </c>
      <c r="O107" s="141"/>
      <c r="P107" s="140"/>
      <c r="Q107" s="141"/>
      <c r="R107" s="140"/>
      <c r="S107" s="141"/>
      <c r="T107" s="140"/>
      <c r="U107" s="141"/>
      <c r="V107" s="155"/>
      <c r="W107" s="156"/>
      <c r="X107" s="155"/>
      <c r="Y107" s="156"/>
      <c r="Z107" s="155"/>
      <c r="AA107" s="156"/>
      <c r="AB107" s="155"/>
      <c r="AC107" s="156"/>
      <c r="AD107" s="79">
        <v>2</v>
      </c>
      <c r="AE107" s="79">
        <v>0</v>
      </c>
      <c r="AF107" s="96"/>
      <c r="AG107" s="96"/>
    </row>
    <row r="108" spans="2:33" ht="25.35" customHeight="1">
      <c r="B108" s="552"/>
      <c r="C108" s="77" t="s">
        <v>107</v>
      </c>
      <c r="D108" s="115"/>
      <c r="E108" s="116"/>
      <c r="F108" s="115"/>
      <c r="G108" s="116"/>
      <c r="H108" s="115"/>
      <c r="I108" s="116"/>
      <c r="J108" s="115"/>
      <c r="K108" s="116"/>
      <c r="L108" s="115"/>
      <c r="M108" s="116"/>
      <c r="N108" s="129">
        <v>2</v>
      </c>
      <c r="O108" s="141"/>
      <c r="P108" s="140"/>
      <c r="Q108" s="141"/>
      <c r="R108" s="140"/>
      <c r="S108" s="141"/>
      <c r="T108" s="140"/>
      <c r="U108" s="141"/>
      <c r="V108" s="155"/>
      <c r="W108" s="156"/>
      <c r="X108" s="155"/>
      <c r="Y108" s="156"/>
      <c r="Z108" s="155"/>
      <c r="AA108" s="156"/>
      <c r="AB108" s="155"/>
      <c r="AC108" s="156"/>
      <c r="AD108" s="79">
        <v>2</v>
      </c>
      <c r="AE108" s="79">
        <f>E108*3+G108*2+I108*2+K108*2+O108*3+Q108*2+S108*2+U108*2+W108*3+Y108*2+AA108*2+AC108*2</f>
        <v>0</v>
      </c>
      <c r="AF108" s="96"/>
      <c r="AG108" s="9"/>
    </row>
    <row r="109" spans="2:33" ht="25.35" customHeight="1">
      <c r="B109" s="552"/>
      <c r="C109" s="87" t="s">
        <v>114</v>
      </c>
      <c r="D109" s="109"/>
      <c r="E109" s="110"/>
      <c r="F109" s="109"/>
      <c r="G109" s="110"/>
      <c r="H109" s="109"/>
      <c r="I109" s="110"/>
      <c r="J109" s="109"/>
      <c r="K109" s="110"/>
      <c r="L109" s="109"/>
      <c r="M109" s="110"/>
      <c r="N109" s="135"/>
      <c r="O109" s="144">
        <v>2</v>
      </c>
      <c r="P109" s="135"/>
      <c r="Q109" s="136"/>
      <c r="R109" s="135"/>
      <c r="S109" s="136"/>
      <c r="T109" s="135"/>
      <c r="U109" s="136"/>
      <c r="V109" s="161"/>
      <c r="W109" s="162"/>
      <c r="X109" s="161"/>
      <c r="Y109" s="162"/>
      <c r="Z109" s="161"/>
      <c r="AA109" s="162"/>
      <c r="AB109" s="161"/>
      <c r="AC109" s="162"/>
      <c r="AD109" s="79">
        <f>D109*3+F109*2+H109*2+J109*2+N109*3+P109*2+R109*2+T109*2+V109*3+X109*2+Z109*2+AB109*2</f>
        <v>0</v>
      </c>
      <c r="AE109" s="79">
        <v>2</v>
      </c>
      <c r="AF109" s="96"/>
      <c r="AG109" s="96"/>
    </row>
    <row r="110" spans="2:33" ht="25.35" customHeight="1">
      <c r="B110" s="552"/>
      <c r="C110" s="87" t="s">
        <v>115</v>
      </c>
      <c r="D110" s="109"/>
      <c r="E110" s="110"/>
      <c r="F110" s="109"/>
      <c r="G110" s="110"/>
      <c r="H110" s="109"/>
      <c r="I110" s="110"/>
      <c r="J110" s="109"/>
      <c r="K110" s="110"/>
      <c r="L110" s="109"/>
      <c r="M110" s="110"/>
      <c r="N110" s="135">
        <v>2</v>
      </c>
      <c r="O110" s="144"/>
      <c r="P110" s="135"/>
      <c r="Q110" s="136"/>
      <c r="R110" s="135"/>
      <c r="S110" s="136"/>
      <c r="T110" s="135"/>
      <c r="U110" s="136"/>
      <c r="V110" s="161"/>
      <c r="W110" s="162"/>
      <c r="X110" s="161"/>
      <c r="Y110" s="162"/>
      <c r="Z110" s="161"/>
      <c r="AA110" s="162"/>
      <c r="AB110" s="161"/>
      <c r="AC110" s="162"/>
      <c r="AD110" s="79">
        <v>2</v>
      </c>
      <c r="AE110" s="79">
        <v>0</v>
      </c>
      <c r="AF110" s="96"/>
      <c r="AG110" s="96"/>
    </row>
    <row r="111" spans="2:33" ht="25.35" customHeight="1">
      <c r="B111" s="552"/>
      <c r="C111" s="87" t="s">
        <v>110</v>
      </c>
      <c r="D111" s="109"/>
      <c r="E111" s="110"/>
      <c r="F111" s="109"/>
      <c r="G111" s="110"/>
      <c r="H111" s="109"/>
      <c r="I111" s="110"/>
      <c r="J111" s="109"/>
      <c r="K111" s="110"/>
      <c r="L111" s="109"/>
      <c r="M111" s="110"/>
      <c r="N111" s="135">
        <v>2</v>
      </c>
      <c r="O111" s="144"/>
      <c r="P111" s="135"/>
      <c r="Q111" s="136"/>
      <c r="R111" s="135"/>
      <c r="S111" s="136"/>
      <c r="T111" s="135"/>
      <c r="U111" s="136"/>
      <c r="V111" s="161"/>
      <c r="W111" s="162"/>
      <c r="X111" s="161"/>
      <c r="Y111" s="162"/>
      <c r="Z111" s="161"/>
      <c r="AA111" s="162"/>
      <c r="AB111" s="161"/>
      <c r="AC111" s="162"/>
      <c r="AD111" s="79">
        <v>2</v>
      </c>
      <c r="AE111" s="79">
        <v>0</v>
      </c>
      <c r="AF111" s="96"/>
      <c r="AG111" s="96"/>
    </row>
    <row r="112" spans="2:33" ht="25.35" customHeight="1">
      <c r="B112" s="552"/>
      <c r="C112" s="87" t="s">
        <v>111</v>
      </c>
      <c r="D112" s="109"/>
      <c r="E112" s="110"/>
      <c r="F112" s="109"/>
      <c r="G112" s="110"/>
      <c r="H112" s="109"/>
      <c r="I112" s="110"/>
      <c r="J112" s="109"/>
      <c r="K112" s="110"/>
      <c r="L112" s="109"/>
      <c r="M112" s="110"/>
      <c r="N112" s="135">
        <v>2</v>
      </c>
      <c r="O112" s="144"/>
      <c r="P112" s="135"/>
      <c r="Q112" s="136"/>
      <c r="R112" s="135"/>
      <c r="S112" s="136"/>
      <c r="T112" s="135"/>
      <c r="U112" s="136"/>
      <c r="V112" s="161"/>
      <c r="W112" s="162"/>
      <c r="X112" s="161"/>
      <c r="Y112" s="162"/>
      <c r="Z112" s="161"/>
      <c r="AA112" s="162"/>
      <c r="AB112" s="161"/>
      <c r="AC112" s="162"/>
      <c r="AD112" s="79">
        <v>2</v>
      </c>
      <c r="AE112" s="79">
        <v>0</v>
      </c>
      <c r="AF112" s="96"/>
      <c r="AG112" s="96"/>
    </row>
    <row r="113" spans="2:33" ht="25.35" customHeight="1">
      <c r="B113" s="552"/>
      <c r="C113" s="87" t="s">
        <v>112</v>
      </c>
      <c r="D113" s="109"/>
      <c r="E113" s="110"/>
      <c r="F113" s="109"/>
      <c r="G113" s="110"/>
      <c r="H113" s="109"/>
      <c r="I113" s="110"/>
      <c r="J113" s="109"/>
      <c r="K113" s="110"/>
      <c r="L113" s="109"/>
      <c r="M113" s="110"/>
      <c r="N113" s="135">
        <v>2</v>
      </c>
      <c r="O113" s="144"/>
      <c r="P113" s="135"/>
      <c r="Q113" s="136"/>
      <c r="R113" s="135"/>
      <c r="S113" s="136"/>
      <c r="T113" s="135"/>
      <c r="U113" s="136"/>
      <c r="V113" s="161"/>
      <c r="W113" s="162"/>
      <c r="X113" s="161"/>
      <c r="Y113" s="162"/>
      <c r="Z113" s="161"/>
      <c r="AA113" s="162"/>
      <c r="AB113" s="161"/>
      <c r="AC113" s="162"/>
      <c r="AD113" s="79">
        <v>2</v>
      </c>
      <c r="AE113" s="79">
        <v>0</v>
      </c>
      <c r="AF113" s="96"/>
      <c r="AG113" s="96"/>
    </row>
    <row r="114" spans="2:33" ht="25.35" customHeight="1">
      <c r="B114" s="552"/>
      <c r="C114" s="87" t="s">
        <v>109</v>
      </c>
      <c r="D114" s="109"/>
      <c r="E114" s="110"/>
      <c r="F114" s="109"/>
      <c r="G114" s="110"/>
      <c r="H114" s="109"/>
      <c r="I114" s="110"/>
      <c r="J114" s="109"/>
      <c r="K114" s="110"/>
      <c r="L114" s="109"/>
      <c r="M114" s="110"/>
      <c r="N114" s="135">
        <v>2</v>
      </c>
      <c r="O114" s="144"/>
      <c r="P114" s="135"/>
      <c r="Q114" s="136"/>
      <c r="R114" s="135"/>
      <c r="S114" s="136"/>
      <c r="T114" s="135"/>
      <c r="U114" s="136"/>
      <c r="V114" s="161"/>
      <c r="W114" s="162"/>
      <c r="X114" s="161"/>
      <c r="Y114" s="162"/>
      <c r="Z114" s="161"/>
      <c r="AA114" s="162"/>
      <c r="AB114" s="161"/>
      <c r="AC114" s="162"/>
      <c r="AD114" s="79">
        <v>2</v>
      </c>
      <c r="AE114" s="79">
        <v>0</v>
      </c>
      <c r="AF114" s="96"/>
      <c r="AG114" s="96"/>
    </row>
    <row r="115" spans="2:33" ht="25.35" customHeight="1">
      <c r="B115" s="552"/>
      <c r="C115" s="74" t="s">
        <v>95</v>
      </c>
      <c r="D115" s="103"/>
      <c r="E115" s="104"/>
      <c r="F115" s="103"/>
      <c r="G115" s="104"/>
      <c r="H115" s="103"/>
      <c r="I115" s="104"/>
      <c r="J115" s="103"/>
      <c r="K115" s="104"/>
      <c r="L115" s="103"/>
      <c r="M115" s="104"/>
      <c r="N115" s="129"/>
      <c r="O115" s="130"/>
      <c r="P115" s="129"/>
      <c r="Q115" s="130"/>
      <c r="R115" s="129"/>
      <c r="S115" s="130"/>
      <c r="T115" s="129"/>
      <c r="U115" s="130"/>
      <c r="V115" s="155">
        <v>2</v>
      </c>
      <c r="W115" s="156">
        <v>2</v>
      </c>
      <c r="X115" s="155"/>
      <c r="Y115" s="156"/>
      <c r="Z115" s="155"/>
      <c r="AA115" s="156"/>
      <c r="AB115" s="155"/>
      <c r="AC115" s="156"/>
      <c r="AD115" s="79">
        <f>D115*3+F115*2+H115*2+J115*2+N115*3+P115*2+R115*2+T115*2+V115*3+X115*2+Z115*2+AB115*2</f>
        <v>6</v>
      </c>
      <c r="AE115" s="79">
        <f>E115*3+G115*2+I115*2+K115*2+O115*3+Q115*2+S115*2+U115*2+W115*3+Y115*2+AA115*2+AC115*2</f>
        <v>6</v>
      </c>
      <c r="AF115" s="96"/>
      <c r="AG115" s="96"/>
    </row>
    <row r="116" spans="2:33" ht="25.35" customHeight="1">
      <c r="B116" s="552"/>
      <c r="C116" s="74" t="s">
        <v>96</v>
      </c>
      <c r="D116" s="103"/>
      <c r="E116" s="104"/>
      <c r="F116" s="103"/>
      <c r="G116" s="104"/>
      <c r="H116" s="103"/>
      <c r="I116" s="104"/>
      <c r="J116" s="103"/>
      <c r="K116" s="104"/>
      <c r="L116" s="103"/>
      <c r="M116" s="104"/>
      <c r="N116" s="129"/>
      <c r="O116" s="130"/>
      <c r="P116" s="129"/>
      <c r="Q116" s="130"/>
      <c r="R116" s="129"/>
      <c r="S116" s="130"/>
      <c r="T116" s="129"/>
      <c r="U116" s="130"/>
      <c r="V116" s="155"/>
      <c r="W116" s="156">
        <v>2</v>
      </c>
      <c r="X116" s="155"/>
      <c r="Y116" s="156"/>
      <c r="Z116" s="155"/>
      <c r="AA116" s="156"/>
      <c r="AB116" s="155"/>
      <c r="AC116" s="156"/>
      <c r="AD116" s="79"/>
      <c r="AE116" s="79">
        <f>W116*3</f>
        <v>6</v>
      </c>
      <c r="AF116" s="96"/>
      <c r="AG116" s="96"/>
    </row>
    <row r="117" spans="2:33" ht="25.35" customHeight="1" thickBot="1">
      <c r="B117" s="600"/>
      <c r="C117" s="74" t="s">
        <v>89</v>
      </c>
      <c r="D117" s="121"/>
      <c r="E117" s="122"/>
      <c r="F117" s="121"/>
      <c r="G117" s="122"/>
      <c r="H117" s="121"/>
      <c r="I117" s="122"/>
      <c r="J117" s="121"/>
      <c r="K117" s="122"/>
      <c r="L117" s="121"/>
      <c r="M117" s="122"/>
      <c r="N117" s="145"/>
      <c r="O117" s="146">
        <v>2</v>
      </c>
      <c r="P117" s="145"/>
      <c r="Q117" s="146"/>
      <c r="R117" s="145"/>
      <c r="S117" s="146"/>
      <c r="T117" s="145"/>
      <c r="U117" s="146"/>
      <c r="V117" s="169">
        <v>2</v>
      </c>
      <c r="W117" s="170"/>
      <c r="X117" s="169"/>
      <c r="Y117" s="170"/>
      <c r="Z117" s="169"/>
      <c r="AA117" s="170"/>
      <c r="AB117" s="169"/>
      <c r="AC117" s="170"/>
      <c r="AD117" s="181">
        <f t="shared" ref="AD117:AE123" si="7">D117*3+F117*2+H117*2+J117*2+N117*3+P117*2+R117*2+T117*2+V117*3+X117*2+Z117*2+AB117*2</f>
        <v>6</v>
      </c>
      <c r="AE117" s="181">
        <f t="shared" si="7"/>
        <v>6</v>
      </c>
      <c r="AF117" s="20"/>
      <c r="AG117" s="20"/>
    </row>
    <row r="118" spans="2:33" ht="25.35" customHeight="1" thickTop="1">
      <c r="B118" s="550" t="s">
        <v>23</v>
      </c>
      <c r="C118" s="59" t="s">
        <v>54</v>
      </c>
      <c r="D118" s="101">
        <v>1</v>
      </c>
      <c r="E118" s="102">
        <v>1</v>
      </c>
      <c r="F118" s="101">
        <v>1</v>
      </c>
      <c r="G118" s="102">
        <v>1</v>
      </c>
      <c r="H118" s="101">
        <v>1</v>
      </c>
      <c r="I118" s="102">
        <v>1</v>
      </c>
      <c r="J118" s="101">
        <v>1</v>
      </c>
      <c r="K118" s="102">
        <v>1</v>
      </c>
      <c r="L118" s="101"/>
      <c r="M118" s="102"/>
      <c r="N118" s="128"/>
      <c r="O118" s="139"/>
      <c r="P118" s="128"/>
      <c r="Q118" s="139"/>
      <c r="R118" s="128"/>
      <c r="S118" s="139"/>
      <c r="T118" s="128"/>
      <c r="U118" s="139"/>
      <c r="V118" s="153"/>
      <c r="W118" s="154"/>
      <c r="X118" s="153"/>
      <c r="Y118" s="154"/>
      <c r="Z118" s="153"/>
      <c r="AA118" s="154"/>
      <c r="AB118" s="153"/>
      <c r="AC118" s="154"/>
      <c r="AD118" s="75">
        <f t="shared" si="7"/>
        <v>9</v>
      </c>
      <c r="AE118" s="75">
        <f t="shared" si="7"/>
        <v>9</v>
      </c>
      <c r="AF118" s="5">
        <f>SUM(AD118:AD119)</f>
        <v>18</v>
      </c>
      <c r="AG118" s="5">
        <f>SUM(AE118:AE119)</f>
        <v>18</v>
      </c>
    </row>
    <row r="119" spans="2:33" ht="25.35" customHeight="1">
      <c r="B119" s="552"/>
      <c r="C119" s="43" t="s">
        <v>55</v>
      </c>
      <c r="D119" s="103">
        <v>1</v>
      </c>
      <c r="E119" s="104">
        <v>1</v>
      </c>
      <c r="F119" s="103">
        <v>1</v>
      </c>
      <c r="G119" s="104">
        <v>1</v>
      </c>
      <c r="H119" s="103">
        <v>1</v>
      </c>
      <c r="I119" s="104">
        <v>1</v>
      </c>
      <c r="J119" s="103">
        <v>1</v>
      </c>
      <c r="K119" s="104">
        <v>1</v>
      </c>
      <c r="L119" s="103"/>
      <c r="M119" s="104"/>
      <c r="N119" s="129"/>
      <c r="O119" s="130"/>
      <c r="P119" s="129"/>
      <c r="Q119" s="130"/>
      <c r="R119" s="129"/>
      <c r="S119" s="130"/>
      <c r="T119" s="129"/>
      <c r="U119" s="130"/>
      <c r="V119" s="155"/>
      <c r="W119" s="156"/>
      <c r="X119" s="155"/>
      <c r="Y119" s="156"/>
      <c r="Z119" s="155"/>
      <c r="AA119" s="156"/>
      <c r="AB119" s="155"/>
      <c r="AC119" s="156"/>
      <c r="AD119" s="79">
        <f t="shared" si="7"/>
        <v>9</v>
      </c>
      <c r="AE119" s="79">
        <f t="shared" si="7"/>
        <v>9</v>
      </c>
      <c r="AF119" s="21"/>
      <c r="AG119" s="21"/>
    </row>
    <row r="120" spans="2:33" ht="44.25" customHeight="1">
      <c r="B120" s="552"/>
      <c r="C120" s="17" t="s">
        <v>17</v>
      </c>
      <c r="D120" s="103">
        <v>2</v>
      </c>
      <c r="E120" s="104">
        <v>2</v>
      </c>
      <c r="F120" s="103">
        <v>2</v>
      </c>
      <c r="G120" s="104">
        <v>2</v>
      </c>
      <c r="H120" s="103">
        <v>2</v>
      </c>
      <c r="I120" s="104">
        <v>2</v>
      </c>
      <c r="J120" s="103">
        <v>2</v>
      </c>
      <c r="K120" s="104">
        <v>2</v>
      </c>
      <c r="L120" s="103">
        <v>2</v>
      </c>
      <c r="M120" s="104">
        <v>2</v>
      </c>
      <c r="N120" s="129">
        <v>2</v>
      </c>
      <c r="O120" s="130">
        <v>2</v>
      </c>
      <c r="P120" s="129">
        <v>2</v>
      </c>
      <c r="Q120" s="130">
        <v>2</v>
      </c>
      <c r="R120" s="129">
        <v>2</v>
      </c>
      <c r="S120" s="130">
        <v>2</v>
      </c>
      <c r="T120" s="129">
        <v>2</v>
      </c>
      <c r="U120" s="130">
        <v>2</v>
      </c>
      <c r="V120" s="155">
        <v>2</v>
      </c>
      <c r="W120" s="156">
        <v>2</v>
      </c>
      <c r="X120" s="155">
        <v>2</v>
      </c>
      <c r="Y120" s="156">
        <v>2</v>
      </c>
      <c r="Z120" s="155">
        <v>2</v>
      </c>
      <c r="AA120" s="156">
        <v>2</v>
      </c>
      <c r="AB120" s="155">
        <v>2</v>
      </c>
      <c r="AC120" s="156">
        <v>2</v>
      </c>
      <c r="AD120" s="79">
        <f t="shared" ref="AD120:AE122" si="8">D120*2+F120*2+H120*2+J120*2+N120*3+P120*2+R120*2+T120*2+V120*3+X120*2+Z120*2+AB120*2+L120</f>
        <v>54</v>
      </c>
      <c r="AE120" s="79">
        <f t="shared" si="8"/>
        <v>54</v>
      </c>
      <c r="AF120" s="10">
        <f t="shared" ref="AF120:AG122" si="9">SUM(AD120)</f>
        <v>54</v>
      </c>
      <c r="AG120" s="10">
        <f t="shared" si="9"/>
        <v>54</v>
      </c>
    </row>
    <row r="121" spans="2:33" ht="28.5" customHeight="1">
      <c r="B121" s="552"/>
      <c r="C121" s="15" t="s">
        <v>18</v>
      </c>
      <c r="D121" s="103">
        <v>1</v>
      </c>
      <c r="E121" s="104">
        <v>1</v>
      </c>
      <c r="F121" s="103">
        <v>1</v>
      </c>
      <c r="G121" s="104">
        <v>1</v>
      </c>
      <c r="H121" s="103">
        <v>1</v>
      </c>
      <c r="I121" s="104">
        <v>1</v>
      </c>
      <c r="J121" s="103">
        <v>1</v>
      </c>
      <c r="K121" s="104">
        <v>1</v>
      </c>
      <c r="L121" s="103">
        <v>1</v>
      </c>
      <c r="M121" s="104">
        <v>1</v>
      </c>
      <c r="N121" s="129"/>
      <c r="O121" s="130"/>
      <c r="P121" s="129"/>
      <c r="Q121" s="130"/>
      <c r="R121" s="129"/>
      <c r="S121" s="130"/>
      <c r="T121" s="129"/>
      <c r="U121" s="130"/>
      <c r="V121" s="155"/>
      <c r="W121" s="156"/>
      <c r="X121" s="155"/>
      <c r="Y121" s="156"/>
      <c r="Z121" s="155"/>
      <c r="AA121" s="156"/>
      <c r="AB121" s="155"/>
      <c r="AC121" s="156"/>
      <c r="AD121" s="79">
        <f t="shared" si="8"/>
        <v>9</v>
      </c>
      <c r="AE121" s="79">
        <f t="shared" si="8"/>
        <v>9</v>
      </c>
      <c r="AF121" s="10">
        <f t="shared" si="9"/>
        <v>9</v>
      </c>
      <c r="AG121" s="10">
        <f t="shared" si="9"/>
        <v>9</v>
      </c>
    </row>
    <row r="122" spans="2:33" ht="27.75" customHeight="1">
      <c r="B122" s="552"/>
      <c r="C122" s="15" t="s">
        <v>19</v>
      </c>
      <c r="D122" s="103">
        <v>1</v>
      </c>
      <c r="E122" s="104">
        <v>1</v>
      </c>
      <c r="F122" s="103">
        <v>1</v>
      </c>
      <c r="G122" s="104">
        <v>1</v>
      </c>
      <c r="H122" s="103">
        <v>1</v>
      </c>
      <c r="I122" s="104">
        <v>1</v>
      </c>
      <c r="J122" s="103">
        <v>1</v>
      </c>
      <c r="K122" s="104">
        <v>1</v>
      </c>
      <c r="L122" s="103">
        <v>1</v>
      </c>
      <c r="M122" s="104">
        <v>1</v>
      </c>
      <c r="N122" s="129"/>
      <c r="O122" s="130"/>
      <c r="P122" s="129"/>
      <c r="Q122" s="130"/>
      <c r="R122" s="129"/>
      <c r="S122" s="130"/>
      <c r="T122" s="129"/>
      <c r="U122" s="130"/>
      <c r="V122" s="155"/>
      <c r="W122" s="156"/>
      <c r="X122" s="155"/>
      <c r="Y122" s="156"/>
      <c r="Z122" s="155"/>
      <c r="AA122" s="156"/>
      <c r="AB122" s="155"/>
      <c r="AC122" s="156"/>
      <c r="AD122" s="79">
        <f t="shared" si="8"/>
        <v>9</v>
      </c>
      <c r="AE122" s="79">
        <f t="shared" si="8"/>
        <v>9</v>
      </c>
      <c r="AF122" s="10">
        <f t="shared" si="9"/>
        <v>9</v>
      </c>
      <c r="AG122" s="10">
        <f t="shared" si="9"/>
        <v>9</v>
      </c>
    </row>
    <row r="123" spans="2:33" ht="21.75" customHeight="1" thickBot="1">
      <c r="B123" s="552"/>
      <c r="C123" s="17" t="s">
        <v>45</v>
      </c>
      <c r="D123" s="103"/>
      <c r="E123" s="104"/>
      <c r="F123" s="103"/>
      <c r="G123" s="104"/>
      <c r="H123" s="103"/>
      <c r="I123" s="104"/>
      <c r="J123" s="103"/>
      <c r="K123" s="104"/>
      <c r="L123" s="111"/>
      <c r="M123" s="112"/>
      <c r="N123" s="129"/>
      <c r="O123" s="130"/>
      <c r="P123" s="129"/>
      <c r="Q123" s="130"/>
      <c r="R123" s="129"/>
      <c r="S123" s="130"/>
      <c r="T123" s="129"/>
      <c r="U123" s="130"/>
      <c r="V123" s="155">
        <v>1</v>
      </c>
      <c r="W123" s="156">
        <v>1</v>
      </c>
      <c r="X123" s="155">
        <v>1</v>
      </c>
      <c r="Y123" s="156">
        <v>1</v>
      </c>
      <c r="Z123" s="155">
        <v>1</v>
      </c>
      <c r="AA123" s="156">
        <v>1</v>
      </c>
      <c r="AB123" s="155">
        <v>1</v>
      </c>
      <c r="AC123" s="156">
        <v>1</v>
      </c>
      <c r="AD123" s="79">
        <f t="shared" si="7"/>
        <v>9</v>
      </c>
      <c r="AE123" s="79">
        <f t="shared" si="7"/>
        <v>9</v>
      </c>
      <c r="AF123" s="10">
        <f t="shared" ref="AF123:AG123" si="10">SUM(AD123)</f>
        <v>9</v>
      </c>
      <c r="AG123" s="10">
        <f t="shared" si="10"/>
        <v>9</v>
      </c>
    </row>
    <row r="124" spans="2:33" ht="25.5" customHeight="1" thickTop="1">
      <c r="B124" s="555" t="s">
        <v>5</v>
      </c>
      <c r="C124" s="556"/>
      <c r="D124" s="183">
        <f t="shared" ref="D124:AG124" si="11">SUM(D5:D123)</f>
        <v>31</v>
      </c>
      <c r="E124" s="184">
        <f t="shared" si="11"/>
        <v>31</v>
      </c>
      <c r="F124" s="183">
        <f t="shared" si="11"/>
        <v>31</v>
      </c>
      <c r="G124" s="184">
        <f t="shared" si="11"/>
        <v>31</v>
      </c>
      <c r="H124" s="183">
        <f t="shared" si="11"/>
        <v>31</v>
      </c>
      <c r="I124" s="184">
        <f t="shared" si="11"/>
        <v>31</v>
      </c>
      <c r="J124" s="183">
        <f t="shared" si="11"/>
        <v>31</v>
      </c>
      <c r="K124" s="184">
        <f t="shared" si="11"/>
        <v>31</v>
      </c>
      <c r="L124" s="183"/>
      <c r="M124" s="184"/>
      <c r="N124" s="147">
        <f t="shared" si="11"/>
        <v>45</v>
      </c>
      <c r="O124" s="148">
        <f t="shared" si="11"/>
        <v>37</v>
      </c>
      <c r="P124" s="147">
        <f t="shared" si="11"/>
        <v>36</v>
      </c>
      <c r="Q124" s="148">
        <f t="shared" si="11"/>
        <v>38</v>
      </c>
      <c r="R124" s="147">
        <f t="shared" si="11"/>
        <v>38</v>
      </c>
      <c r="S124" s="148">
        <f t="shared" si="11"/>
        <v>38</v>
      </c>
      <c r="T124" s="147">
        <f t="shared" si="11"/>
        <v>35</v>
      </c>
      <c r="U124" s="148">
        <f t="shared" si="11"/>
        <v>39</v>
      </c>
      <c r="V124" s="171">
        <f t="shared" si="11"/>
        <v>30</v>
      </c>
      <c r="W124" s="172">
        <f t="shared" si="11"/>
        <v>30</v>
      </c>
      <c r="X124" s="171">
        <f t="shared" si="11"/>
        <v>31</v>
      </c>
      <c r="Y124" s="172">
        <f t="shared" si="11"/>
        <v>31</v>
      </c>
      <c r="Z124" s="171">
        <f t="shared" si="11"/>
        <v>31</v>
      </c>
      <c r="AA124" s="172">
        <f t="shared" si="11"/>
        <v>31</v>
      </c>
      <c r="AB124" s="171">
        <f t="shared" si="11"/>
        <v>31</v>
      </c>
      <c r="AC124" s="172">
        <f t="shared" si="11"/>
        <v>33</v>
      </c>
      <c r="AD124" s="7">
        <f t="shared" si="11"/>
        <v>854</v>
      </c>
      <c r="AE124" s="7">
        <f t="shared" si="11"/>
        <v>844</v>
      </c>
      <c r="AF124" s="7">
        <f t="shared" si="11"/>
        <v>854</v>
      </c>
      <c r="AG124" s="11">
        <f t="shared" si="11"/>
        <v>844</v>
      </c>
    </row>
    <row r="125" spans="2:33" ht="16.5">
      <c r="C125" s="98" t="s">
        <v>147</v>
      </c>
      <c r="N125" s="1">
        <v>31</v>
      </c>
      <c r="O125" s="1">
        <v>31</v>
      </c>
      <c r="P125" s="1">
        <v>31</v>
      </c>
      <c r="Q125" s="1">
        <v>31</v>
      </c>
      <c r="R125" s="1">
        <v>31</v>
      </c>
      <c r="S125" s="1">
        <v>31</v>
      </c>
      <c r="T125" s="1">
        <v>31</v>
      </c>
      <c r="U125" s="1">
        <v>31</v>
      </c>
    </row>
    <row r="126" spans="2:33" ht="16.5">
      <c r="B126" s="2"/>
      <c r="C126" s="98" t="s">
        <v>146</v>
      </c>
      <c r="D126" s="1">
        <v>3</v>
      </c>
      <c r="E126" s="1">
        <v>3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  <c r="K126" s="1">
        <v>3</v>
      </c>
      <c r="L126" s="1">
        <v>3</v>
      </c>
      <c r="M126" s="1">
        <v>3</v>
      </c>
      <c r="N126" s="1">
        <v>3</v>
      </c>
      <c r="O126" s="1">
        <v>3</v>
      </c>
      <c r="P126" s="1">
        <v>3</v>
      </c>
      <c r="Q126" s="1">
        <v>3</v>
      </c>
      <c r="R126" s="1">
        <v>3</v>
      </c>
      <c r="S126" s="1">
        <v>3</v>
      </c>
      <c r="T126" s="1">
        <v>3</v>
      </c>
      <c r="U126" s="1">
        <v>3</v>
      </c>
      <c r="V126" s="1">
        <v>2</v>
      </c>
      <c r="W126" s="1">
        <v>2</v>
      </c>
      <c r="X126" s="1">
        <v>2</v>
      </c>
      <c r="Y126" s="1">
        <v>2</v>
      </c>
      <c r="Z126" s="1">
        <v>2</v>
      </c>
      <c r="AA126" s="1">
        <v>2</v>
      </c>
      <c r="AB126" s="1">
        <v>2</v>
      </c>
      <c r="AC126" s="1">
        <v>2</v>
      </c>
    </row>
    <row r="127" spans="2:33" ht="16.5">
      <c r="C127" s="98" t="s">
        <v>150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</row>
    <row r="128" spans="2:33" ht="16.5">
      <c r="C128" s="98" t="s">
        <v>149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</row>
  </sheetData>
  <mergeCells count="28">
    <mergeCell ref="B118:B123"/>
    <mergeCell ref="B124:C124"/>
    <mergeCell ref="D2:M2"/>
    <mergeCell ref="L3:M3"/>
    <mergeCell ref="B5:B14"/>
    <mergeCell ref="B15:B41"/>
    <mergeCell ref="B42:B50"/>
    <mergeCell ref="B51:B71"/>
    <mergeCell ref="B72:B92"/>
    <mergeCell ref="B93:B117"/>
    <mergeCell ref="B2:B4"/>
    <mergeCell ref="C2:C4"/>
    <mergeCell ref="AF2:AG3"/>
    <mergeCell ref="D3:E3"/>
    <mergeCell ref="F3:G3"/>
    <mergeCell ref="H3:I3"/>
    <mergeCell ref="J3:K3"/>
    <mergeCell ref="N3:O3"/>
    <mergeCell ref="P3:Q3"/>
    <mergeCell ref="R3:S3"/>
    <mergeCell ref="T3:U3"/>
    <mergeCell ref="V3:W3"/>
    <mergeCell ref="N2:T2"/>
    <mergeCell ref="V2:AB2"/>
    <mergeCell ref="AD2:AE3"/>
    <mergeCell ref="X3:Y3"/>
    <mergeCell ref="Z3:AA3"/>
    <mergeCell ref="AB3:AC3"/>
  </mergeCells>
  <phoneticPr fontId="2" type="noConversion"/>
  <printOptions horizontalCentered="1"/>
  <pageMargins left="0.15748031496062992" right="0.15748031496062992" top="0.19685039370078741" bottom="0.22" header="0.15748031496062992" footer="0.17"/>
  <pageSetup paperSize="12" scale="79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>
      <selection activeCell="B73" sqref="A73:XFD73"/>
    </sheetView>
  </sheetViews>
  <sheetFormatPr defaultColWidth="9" defaultRowHeight="16.5"/>
  <cols>
    <col min="1" max="1" width="7.75" style="266" customWidth="1"/>
    <col min="2" max="2" width="27.5" style="266" bestFit="1" customWidth="1"/>
    <col min="3" max="9" width="6.5" style="266" customWidth="1"/>
    <col min="10" max="10" width="4.875" style="266" bestFit="1" customWidth="1"/>
    <col min="11" max="11" width="5.875" style="266" customWidth="1"/>
    <col min="12" max="12" width="21.375" style="266" customWidth="1"/>
    <col min="13" max="13" width="9.125" style="266" customWidth="1"/>
    <col min="14" max="14" width="9.25" style="266" customWidth="1"/>
    <col min="15" max="16384" width="9" style="266"/>
  </cols>
  <sheetData>
    <row r="1" spans="1:15" ht="17.25" thickBot="1">
      <c r="A1" s="355" t="str">
        <f>"國立花蓮高商進修部 113 學年度第 1 學期課程節數概算表"</f>
        <v>國立花蓮高商進修部 113 學年度第 1 學期課程節數概算表</v>
      </c>
      <c r="B1" s="356"/>
      <c r="F1" s="356"/>
      <c r="G1" s="356"/>
      <c r="H1" s="356"/>
      <c r="I1" s="356"/>
      <c r="J1" s="356"/>
      <c r="K1" s="357">
        <f ca="1">TODAY()</f>
        <v>45604</v>
      </c>
      <c r="L1"/>
    </row>
    <row r="2" spans="1:15">
      <c r="A2" s="605" t="s">
        <v>341</v>
      </c>
      <c r="B2" s="607" t="s">
        <v>342</v>
      </c>
      <c r="C2" s="609" t="s">
        <v>281</v>
      </c>
      <c r="D2" s="609"/>
      <c r="E2" s="610"/>
      <c r="F2" s="611" t="s">
        <v>244</v>
      </c>
      <c r="G2" s="612"/>
      <c r="H2" s="613" t="s">
        <v>343</v>
      </c>
      <c r="I2" s="614"/>
      <c r="J2" s="615" t="s">
        <v>3</v>
      </c>
      <c r="K2" s="605" t="s">
        <v>344</v>
      </c>
      <c r="L2" s="618" t="s">
        <v>245</v>
      </c>
      <c r="M2" s="620" t="s">
        <v>246</v>
      </c>
      <c r="N2" s="621"/>
    </row>
    <row r="3" spans="1:15" ht="17.25" thickBot="1">
      <c r="A3" s="606"/>
      <c r="B3" s="608"/>
      <c r="C3" s="267" t="s">
        <v>345</v>
      </c>
      <c r="D3" s="267" t="s">
        <v>22</v>
      </c>
      <c r="E3" s="267" t="s">
        <v>346</v>
      </c>
      <c r="F3" s="268" t="s">
        <v>345</v>
      </c>
      <c r="G3" s="269" t="s">
        <v>347</v>
      </c>
      <c r="H3" s="270" t="s">
        <v>11</v>
      </c>
      <c r="I3" s="271" t="s">
        <v>347</v>
      </c>
      <c r="J3" s="616"/>
      <c r="K3" s="617"/>
      <c r="L3" s="619"/>
      <c r="M3" s="622"/>
      <c r="N3" s="623"/>
    </row>
    <row r="4" spans="1:15" ht="17.25" thickBot="1">
      <c r="A4" s="624" t="s">
        <v>348</v>
      </c>
      <c r="B4" s="358" t="s">
        <v>349</v>
      </c>
      <c r="C4" s="272">
        <v>2</v>
      </c>
      <c r="D4" s="359">
        <v>2</v>
      </c>
      <c r="E4" s="360">
        <v>3</v>
      </c>
      <c r="F4" s="273">
        <v>2</v>
      </c>
      <c r="G4" s="274">
        <v>2</v>
      </c>
      <c r="H4" s="275">
        <v>2</v>
      </c>
      <c r="I4" s="276">
        <v>2</v>
      </c>
      <c r="J4" s="277">
        <f t="shared" ref="J4:J35" si="0">SUM(C4:I4)</f>
        <v>15</v>
      </c>
      <c r="K4" s="278">
        <f>SUM(J4:J11)</f>
        <v>29</v>
      </c>
      <c r="L4" s="627" t="s">
        <v>350</v>
      </c>
      <c r="M4" s="361" t="s">
        <v>247</v>
      </c>
      <c r="N4" s="362" t="s">
        <v>351</v>
      </c>
    </row>
    <row r="5" spans="1:15" ht="17.25" thickBot="1">
      <c r="A5" s="625"/>
      <c r="B5" s="279" t="s">
        <v>248</v>
      </c>
      <c r="C5" s="280">
        <v>1</v>
      </c>
      <c r="D5" s="363">
        <v>1</v>
      </c>
      <c r="E5" s="364">
        <v>1</v>
      </c>
      <c r="F5" s="281"/>
      <c r="G5" s="282"/>
      <c r="H5" s="283"/>
      <c r="I5" s="284"/>
      <c r="J5" s="277">
        <f t="shared" si="0"/>
        <v>3</v>
      </c>
      <c r="K5" s="285"/>
      <c r="L5" s="628"/>
      <c r="M5" s="365" t="s">
        <v>352</v>
      </c>
      <c r="N5" s="362" t="s">
        <v>353</v>
      </c>
      <c r="O5" s="366"/>
    </row>
    <row r="6" spans="1:15" ht="17.25" thickBot="1">
      <c r="A6" s="625"/>
      <c r="B6" s="279" t="s">
        <v>354</v>
      </c>
      <c r="C6" s="280">
        <v>1</v>
      </c>
      <c r="D6" s="363">
        <v>1</v>
      </c>
      <c r="E6" s="364">
        <v>1</v>
      </c>
      <c r="F6" s="281"/>
      <c r="G6" s="282"/>
      <c r="H6" s="283"/>
      <c r="I6" s="284"/>
      <c r="J6" s="277">
        <f t="shared" si="0"/>
        <v>3</v>
      </c>
      <c r="K6" s="285"/>
      <c r="L6" s="628"/>
      <c r="M6" s="367" t="s">
        <v>355</v>
      </c>
      <c r="N6" s="368" t="s">
        <v>356</v>
      </c>
      <c r="O6" s="366"/>
    </row>
    <row r="7" spans="1:15" ht="17.25" thickBot="1">
      <c r="A7" s="625"/>
      <c r="B7" s="279" t="s">
        <v>12</v>
      </c>
      <c r="C7" s="280">
        <v>1</v>
      </c>
      <c r="D7" s="363">
        <v>1</v>
      </c>
      <c r="E7" s="364"/>
      <c r="F7" s="281"/>
      <c r="G7" s="282"/>
      <c r="H7" s="283"/>
      <c r="I7" s="284"/>
      <c r="J7" s="277">
        <f t="shared" si="0"/>
        <v>2</v>
      </c>
      <c r="K7" s="285"/>
      <c r="L7" s="628"/>
      <c r="M7" s="367" t="s">
        <v>357</v>
      </c>
      <c r="N7" s="368" t="s">
        <v>358</v>
      </c>
    </row>
    <row r="8" spans="1:15" ht="17.25" thickBot="1">
      <c r="A8" s="625"/>
      <c r="B8" s="279" t="s">
        <v>359</v>
      </c>
      <c r="C8" s="280"/>
      <c r="D8" s="363"/>
      <c r="E8" s="364"/>
      <c r="F8" s="281"/>
      <c r="G8" s="282"/>
      <c r="H8" s="283">
        <v>1</v>
      </c>
      <c r="I8" s="284"/>
      <c r="J8" s="277">
        <f t="shared" si="0"/>
        <v>1</v>
      </c>
      <c r="K8" s="285"/>
      <c r="L8" s="628"/>
      <c r="M8" s="367" t="s">
        <v>250</v>
      </c>
      <c r="N8" s="362" t="s">
        <v>360</v>
      </c>
    </row>
    <row r="9" spans="1:15" ht="17.25" thickBot="1">
      <c r="A9" s="625"/>
      <c r="B9" s="287" t="s">
        <v>361</v>
      </c>
      <c r="C9" s="280"/>
      <c r="D9" s="363"/>
      <c r="E9" s="364"/>
      <c r="F9" s="281"/>
      <c r="G9" s="282"/>
      <c r="H9" s="283">
        <v>2</v>
      </c>
      <c r="I9" s="284">
        <v>2</v>
      </c>
      <c r="J9" s="277">
        <f t="shared" si="0"/>
        <v>4</v>
      </c>
      <c r="K9" s="288"/>
      <c r="L9" s="628"/>
      <c r="M9" s="365" t="s">
        <v>252</v>
      </c>
      <c r="N9" s="286" t="s">
        <v>249</v>
      </c>
    </row>
    <row r="10" spans="1:15" ht="17.25" thickBot="1">
      <c r="A10" s="625"/>
      <c r="B10" s="279" t="s">
        <v>362</v>
      </c>
      <c r="C10" s="280"/>
      <c r="D10" s="363"/>
      <c r="E10" s="364"/>
      <c r="F10" s="281"/>
      <c r="G10" s="282"/>
      <c r="H10" s="283"/>
      <c r="I10" s="284">
        <v>1</v>
      </c>
      <c r="J10" s="277">
        <f t="shared" si="0"/>
        <v>1</v>
      </c>
      <c r="K10" s="288"/>
      <c r="L10" s="628"/>
      <c r="M10" s="367" t="s">
        <v>253</v>
      </c>
      <c r="N10" s="286" t="s">
        <v>251</v>
      </c>
    </row>
    <row r="11" spans="1:15" ht="17.25" thickBot="1">
      <c r="A11" s="626"/>
      <c r="B11" s="369" t="s">
        <v>363</v>
      </c>
      <c r="C11" s="290"/>
      <c r="D11" s="370"/>
      <c r="E11" s="371"/>
      <c r="F11" s="291"/>
      <c r="G11" s="292"/>
      <c r="H11" s="293"/>
      <c r="I11" s="294"/>
      <c r="J11" s="277">
        <f t="shared" si="0"/>
        <v>0</v>
      </c>
      <c r="K11" s="295"/>
      <c r="L11" s="629"/>
    </row>
    <row r="12" spans="1:15" ht="17.25" thickBot="1">
      <c r="A12" s="601" t="s">
        <v>364</v>
      </c>
      <c r="B12" s="372" t="s">
        <v>62</v>
      </c>
      <c r="C12" s="272">
        <v>2</v>
      </c>
      <c r="D12" s="359">
        <v>2</v>
      </c>
      <c r="E12" s="360">
        <v>2</v>
      </c>
      <c r="F12" s="296">
        <v>2</v>
      </c>
      <c r="G12" s="297">
        <v>2</v>
      </c>
      <c r="H12" s="275">
        <v>2</v>
      </c>
      <c r="I12" s="276">
        <v>2</v>
      </c>
      <c r="J12" s="298">
        <f t="shared" si="0"/>
        <v>14</v>
      </c>
      <c r="K12" s="373">
        <f>SUM(J12:J13)</f>
        <v>14</v>
      </c>
      <c r="L12" s="603" t="s">
        <v>365</v>
      </c>
    </row>
    <row r="13" spans="1:15" ht="17.25" thickBot="1">
      <c r="A13" s="602"/>
      <c r="B13" s="374" t="s">
        <v>254</v>
      </c>
      <c r="C13" s="299"/>
      <c r="D13" s="375"/>
      <c r="E13" s="376"/>
      <c r="F13" s="281"/>
      <c r="G13" s="282"/>
      <c r="H13" s="300"/>
      <c r="I13" s="301"/>
      <c r="J13" s="298">
        <f t="shared" si="0"/>
        <v>0</v>
      </c>
      <c r="K13" s="377"/>
      <c r="L13" s="604"/>
    </row>
    <row r="14" spans="1:15" ht="17.25" thickBot="1">
      <c r="A14" s="378" t="s">
        <v>366</v>
      </c>
      <c r="B14" s="302" t="s">
        <v>16</v>
      </c>
      <c r="C14" s="272">
        <v>2</v>
      </c>
      <c r="D14" s="359">
        <v>2</v>
      </c>
      <c r="E14" s="360">
        <v>2</v>
      </c>
      <c r="F14" s="273">
        <v>2</v>
      </c>
      <c r="G14" s="274">
        <v>2</v>
      </c>
      <c r="H14" s="275"/>
      <c r="I14" s="303"/>
      <c r="J14" s="298">
        <f t="shared" si="0"/>
        <v>10</v>
      </c>
      <c r="K14" s="379">
        <f>SUM(J14)</f>
        <v>10</v>
      </c>
      <c r="L14" s="380" t="s">
        <v>367</v>
      </c>
    </row>
    <row r="15" spans="1:15" ht="17.25" thickBot="1">
      <c r="A15" s="601" t="s">
        <v>7</v>
      </c>
      <c r="B15" s="381" t="s">
        <v>368</v>
      </c>
      <c r="C15" s="272">
        <v>3</v>
      </c>
      <c r="D15" s="359">
        <v>3</v>
      </c>
      <c r="E15" s="360"/>
      <c r="F15" s="273">
        <v>2</v>
      </c>
      <c r="G15" s="274">
        <v>2</v>
      </c>
      <c r="H15" s="275"/>
      <c r="I15" s="303"/>
      <c r="J15" s="298">
        <f t="shared" si="0"/>
        <v>10</v>
      </c>
      <c r="K15" s="373">
        <f>SUM(J15:J27)</f>
        <v>27</v>
      </c>
      <c r="L15" s="630" t="s">
        <v>369</v>
      </c>
    </row>
    <row r="16" spans="1:15" ht="17.25" thickBot="1">
      <c r="A16" s="602"/>
      <c r="B16" s="382" t="s">
        <v>255</v>
      </c>
      <c r="C16" s="280"/>
      <c r="D16" s="363"/>
      <c r="E16" s="364">
        <v>3</v>
      </c>
      <c r="F16" s="281"/>
      <c r="G16" s="282"/>
      <c r="H16" s="283">
        <v>2</v>
      </c>
      <c r="I16" s="283"/>
      <c r="J16" s="298">
        <f t="shared" si="0"/>
        <v>5</v>
      </c>
      <c r="K16" s="377"/>
      <c r="L16" s="631"/>
    </row>
    <row r="17" spans="1:12" ht="17.25" thickBot="1">
      <c r="A17" s="602"/>
      <c r="B17" s="382" t="s">
        <v>370</v>
      </c>
      <c r="C17" s="280"/>
      <c r="D17" s="363"/>
      <c r="E17" s="364"/>
      <c r="F17" s="281">
        <v>2</v>
      </c>
      <c r="G17" s="282"/>
      <c r="H17" s="283"/>
      <c r="I17" s="304"/>
      <c r="J17" s="298">
        <f t="shared" si="0"/>
        <v>2</v>
      </c>
      <c r="K17" s="383"/>
      <c r="L17" s="631"/>
    </row>
    <row r="18" spans="1:12" ht="17.25" thickBot="1">
      <c r="A18" s="602"/>
      <c r="B18" s="384" t="s">
        <v>282</v>
      </c>
      <c r="C18" s="305"/>
      <c r="D18" s="385"/>
      <c r="E18" s="386"/>
      <c r="F18" s="281"/>
      <c r="G18" s="282"/>
      <c r="H18" s="306">
        <v>2</v>
      </c>
      <c r="I18" s="307">
        <v>2</v>
      </c>
      <c r="J18" s="298">
        <f t="shared" si="0"/>
        <v>4</v>
      </c>
      <c r="K18" s="377"/>
      <c r="L18" s="631"/>
    </row>
    <row r="19" spans="1:12" ht="17.25" thickBot="1">
      <c r="A19" s="602"/>
      <c r="B19" s="384" t="s">
        <v>371</v>
      </c>
      <c r="C19" s="305"/>
      <c r="D19" s="385"/>
      <c r="E19" s="386"/>
      <c r="F19" s="281"/>
      <c r="G19" s="282"/>
      <c r="H19" s="306"/>
      <c r="I19" s="307"/>
      <c r="J19" s="298">
        <f t="shared" si="0"/>
        <v>0</v>
      </c>
      <c r="K19" s="377"/>
      <c r="L19" s="631"/>
    </row>
    <row r="20" spans="1:12" ht="17.25" thickBot="1">
      <c r="A20" s="602"/>
      <c r="B20" s="387" t="s">
        <v>65</v>
      </c>
      <c r="C20" s="280"/>
      <c r="D20" s="363"/>
      <c r="E20" s="364"/>
      <c r="F20" s="281"/>
      <c r="G20" s="282"/>
      <c r="H20" s="283"/>
      <c r="I20" s="284"/>
      <c r="J20" s="298">
        <f t="shared" si="0"/>
        <v>0</v>
      </c>
      <c r="K20" s="377"/>
      <c r="L20" s="631"/>
    </row>
    <row r="21" spans="1:12" ht="17.25" thickBot="1">
      <c r="A21" s="602"/>
      <c r="B21" s="387" t="s">
        <v>75</v>
      </c>
      <c r="C21" s="299"/>
      <c r="D21" s="375"/>
      <c r="E21" s="376"/>
      <c r="F21" s="281"/>
      <c r="G21" s="282"/>
      <c r="H21" s="308">
        <v>2</v>
      </c>
      <c r="I21" s="309"/>
      <c r="J21" s="298">
        <f t="shared" si="0"/>
        <v>2</v>
      </c>
      <c r="K21" s="377"/>
      <c r="L21" s="631"/>
    </row>
    <row r="22" spans="1:12" ht="17.25" thickBot="1">
      <c r="A22" s="602"/>
      <c r="B22" s="388" t="s">
        <v>283</v>
      </c>
      <c r="C22" s="299"/>
      <c r="D22" s="375"/>
      <c r="E22" s="376"/>
      <c r="F22" s="281">
        <v>2</v>
      </c>
      <c r="G22" s="282"/>
      <c r="H22" s="308">
        <v>2</v>
      </c>
      <c r="I22" s="309"/>
      <c r="J22" s="298">
        <f t="shared" si="0"/>
        <v>4</v>
      </c>
      <c r="K22" s="377"/>
      <c r="L22" s="631"/>
    </row>
    <row r="23" spans="1:12" ht="17.25" thickBot="1">
      <c r="A23" s="602"/>
      <c r="B23" s="388" t="s">
        <v>284</v>
      </c>
      <c r="C23" s="299"/>
      <c r="D23" s="375"/>
      <c r="E23" s="376"/>
      <c r="F23" s="281"/>
      <c r="G23" s="282"/>
      <c r="H23" s="308"/>
      <c r="I23" s="309"/>
      <c r="J23" s="298">
        <f t="shared" si="0"/>
        <v>0</v>
      </c>
      <c r="K23" s="377"/>
      <c r="L23" s="631"/>
    </row>
    <row r="24" spans="1:12" ht="17.25" thickBot="1">
      <c r="A24" s="602"/>
      <c r="B24" s="388" t="s">
        <v>256</v>
      </c>
      <c r="C24" s="299"/>
      <c r="D24" s="375"/>
      <c r="E24" s="376"/>
      <c r="F24" s="281"/>
      <c r="G24" s="282"/>
      <c r="H24" s="308"/>
      <c r="I24" s="309"/>
      <c r="J24" s="298">
        <f t="shared" si="0"/>
        <v>0</v>
      </c>
      <c r="K24" s="377"/>
      <c r="L24" s="631"/>
    </row>
    <row r="25" spans="1:12" ht="17.25" thickBot="1">
      <c r="A25" s="602"/>
      <c r="B25" s="388" t="s">
        <v>257</v>
      </c>
      <c r="C25" s="299"/>
      <c r="D25" s="375"/>
      <c r="E25" s="376"/>
      <c r="F25" s="281"/>
      <c r="G25" s="282"/>
      <c r="H25" s="308"/>
      <c r="I25" s="309"/>
      <c r="J25" s="298">
        <f t="shared" si="0"/>
        <v>0</v>
      </c>
      <c r="K25" s="377"/>
      <c r="L25" s="631"/>
    </row>
    <row r="26" spans="1:12">
      <c r="A26" s="602"/>
      <c r="B26" s="388" t="s">
        <v>258</v>
      </c>
      <c r="C26" s="280"/>
      <c r="D26" s="363"/>
      <c r="E26" s="364"/>
      <c r="F26" s="281"/>
      <c r="G26" s="282"/>
      <c r="H26" s="283"/>
      <c r="I26" s="304"/>
      <c r="J26" s="298">
        <f t="shared" si="0"/>
        <v>0</v>
      </c>
      <c r="K26" s="377"/>
      <c r="L26" s="631"/>
    </row>
    <row r="27" spans="1:12" ht="17.25" thickBot="1">
      <c r="A27" s="602"/>
      <c r="B27" s="388" t="s">
        <v>372</v>
      </c>
      <c r="C27" s="299"/>
      <c r="D27" s="375"/>
      <c r="E27" s="376"/>
      <c r="F27" s="281"/>
      <c r="G27" s="282"/>
      <c r="H27" s="308"/>
      <c r="I27" s="308"/>
      <c r="J27" s="310">
        <f t="shared" si="0"/>
        <v>0</v>
      </c>
      <c r="K27" s="377"/>
      <c r="L27" s="631"/>
    </row>
    <row r="28" spans="1:12" ht="17.25" thickBot="1">
      <c r="A28" s="601" t="s">
        <v>8</v>
      </c>
      <c r="B28" s="381" t="s">
        <v>373</v>
      </c>
      <c r="C28" s="272">
        <v>2</v>
      </c>
      <c r="D28" s="359">
        <v>2</v>
      </c>
      <c r="E28" s="360">
        <v>2</v>
      </c>
      <c r="F28" s="273"/>
      <c r="G28" s="274"/>
      <c r="H28" s="275"/>
      <c r="I28" s="303"/>
      <c r="J28" s="298">
        <f t="shared" si="0"/>
        <v>6</v>
      </c>
      <c r="K28" s="389">
        <f>SUM(J28:J41)</f>
        <v>24</v>
      </c>
      <c r="L28" s="603" t="s">
        <v>374</v>
      </c>
    </row>
    <row r="29" spans="1:12" ht="17.25" thickBot="1">
      <c r="A29" s="602"/>
      <c r="B29" s="387" t="s">
        <v>375</v>
      </c>
      <c r="C29" s="280">
        <v>2</v>
      </c>
      <c r="D29" s="363"/>
      <c r="E29" s="364"/>
      <c r="F29" s="281"/>
      <c r="G29" s="282"/>
      <c r="H29" s="283"/>
      <c r="I29" s="304"/>
      <c r="J29" s="298">
        <f t="shared" si="0"/>
        <v>2</v>
      </c>
      <c r="K29" s="383"/>
      <c r="L29" s="633"/>
    </row>
    <row r="30" spans="1:12" ht="17.25" thickBot="1">
      <c r="A30" s="602"/>
      <c r="B30" s="387" t="s">
        <v>259</v>
      </c>
      <c r="C30" s="280"/>
      <c r="D30" s="363"/>
      <c r="E30" s="364">
        <v>3</v>
      </c>
      <c r="F30" s="281"/>
      <c r="G30" s="282"/>
      <c r="H30" s="283"/>
      <c r="I30" s="304"/>
      <c r="J30" s="298">
        <f t="shared" si="0"/>
        <v>3</v>
      </c>
      <c r="K30" s="383"/>
      <c r="L30" s="633"/>
    </row>
    <row r="31" spans="1:12" ht="17.25" thickBot="1">
      <c r="A31" s="602"/>
      <c r="B31" s="384" t="s">
        <v>376</v>
      </c>
      <c r="C31" s="305"/>
      <c r="D31" s="385"/>
      <c r="E31" s="386"/>
      <c r="F31" s="281"/>
      <c r="G31" s="282"/>
      <c r="H31" s="306"/>
      <c r="I31" s="307"/>
      <c r="J31" s="298">
        <f t="shared" si="0"/>
        <v>0</v>
      </c>
      <c r="K31" s="383"/>
      <c r="L31" s="633"/>
    </row>
    <row r="32" spans="1:12" ht="17.25" thickBot="1">
      <c r="A32" s="602"/>
      <c r="B32" s="390" t="s">
        <v>377</v>
      </c>
      <c r="C32" s="280"/>
      <c r="D32" s="363"/>
      <c r="E32" s="364"/>
      <c r="F32" s="281">
        <v>4</v>
      </c>
      <c r="G32" s="282">
        <v>2</v>
      </c>
      <c r="H32" s="283"/>
      <c r="I32" s="304"/>
      <c r="J32" s="298">
        <f t="shared" si="0"/>
        <v>6</v>
      </c>
      <c r="K32" s="383"/>
      <c r="L32" s="633"/>
    </row>
    <row r="33" spans="1:12" ht="17.25" thickBot="1">
      <c r="A33" s="602"/>
      <c r="B33" s="382" t="s">
        <v>260</v>
      </c>
      <c r="C33" s="280"/>
      <c r="D33" s="363"/>
      <c r="E33" s="364"/>
      <c r="F33" s="281"/>
      <c r="G33" s="282"/>
      <c r="H33" s="283"/>
      <c r="I33" s="304"/>
      <c r="J33" s="298">
        <f t="shared" si="0"/>
        <v>0</v>
      </c>
      <c r="K33" s="383"/>
      <c r="L33" s="633"/>
    </row>
    <row r="34" spans="1:12" ht="17.25" thickBot="1">
      <c r="A34" s="602"/>
      <c r="B34" s="382" t="s">
        <v>378</v>
      </c>
      <c r="C34" s="280"/>
      <c r="D34" s="363"/>
      <c r="E34" s="364"/>
      <c r="F34" s="281"/>
      <c r="G34" s="282"/>
      <c r="H34" s="391">
        <v>3</v>
      </c>
      <c r="I34" s="304"/>
      <c r="J34" s="298">
        <f t="shared" si="0"/>
        <v>3</v>
      </c>
      <c r="K34" s="383"/>
      <c r="L34" s="633"/>
    </row>
    <row r="35" spans="1:12" ht="17.25" thickBot="1">
      <c r="A35" s="602"/>
      <c r="B35" s="382" t="s">
        <v>290</v>
      </c>
      <c r="C35" s="280"/>
      <c r="D35" s="363"/>
      <c r="E35" s="364"/>
      <c r="F35" s="281"/>
      <c r="G35" s="282"/>
      <c r="H35" s="283">
        <v>2</v>
      </c>
      <c r="I35" s="304"/>
      <c r="J35" s="298">
        <f t="shared" si="0"/>
        <v>2</v>
      </c>
      <c r="K35" s="392"/>
      <c r="L35" s="633"/>
    </row>
    <row r="36" spans="1:12" ht="17.25" thickBot="1">
      <c r="A36" s="602"/>
      <c r="B36" s="382" t="s">
        <v>79</v>
      </c>
      <c r="C36" s="280"/>
      <c r="D36" s="363"/>
      <c r="E36" s="364"/>
      <c r="F36" s="281"/>
      <c r="G36" s="282"/>
      <c r="H36" s="283"/>
      <c r="I36" s="304"/>
      <c r="J36" s="298">
        <f t="shared" ref="J36:J77" si="1">SUM(C36:I36)</f>
        <v>0</v>
      </c>
      <c r="K36" s="383"/>
      <c r="L36" s="633"/>
    </row>
    <row r="37" spans="1:12" ht="17.25" thickBot="1">
      <c r="A37" s="602"/>
      <c r="B37" s="393" t="s">
        <v>379</v>
      </c>
      <c r="C37" s="280"/>
      <c r="D37" s="363"/>
      <c r="E37" s="364"/>
      <c r="F37" s="281"/>
      <c r="G37" s="282"/>
      <c r="H37" s="283">
        <v>2</v>
      </c>
      <c r="I37" s="304"/>
      <c r="J37" s="298">
        <f t="shared" si="1"/>
        <v>2</v>
      </c>
      <c r="K37" s="383"/>
      <c r="L37" s="633"/>
    </row>
    <row r="38" spans="1:12" ht="17.25" thickBot="1">
      <c r="A38" s="602"/>
      <c r="B38" s="393" t="s">
        <v>380</v>
      </c>
      <c r="C38" s="280"/>
      <c r="D38" s="363"/>
      <c r="E38" s="364"/>
      <c r="F38" s="281"/>
      <c r="G38" s="282"/>
      <c r="H38" s="283"/>
      <c r="I38" s="304"/>
      <c r="J38" s="298">
        <f t="shared" si="1"/>
        <v>0</v>
      </c>
      <c r="K38" s="383"/>
      <c r="L38" s="633"/>
    </row>
    <row r="39" spans="1:12" ht="17.25" thickBot="1">
      <c r="A39" s="602"/>
      <c r="B39" s="388" t="s">
        <v>261</v>
      </c>
      <c r="C39" s="299"/>
      <c r="D39" s="375"/>
      <c r="E39" s="376"/>
      <c r="F39" s="281"/>
      <c r="G39" s="282"/>
      <c r="H39" s="308"/>
      <c r="I39" s="309"/>
      <c r="J39" s="298">
        <f t="shared" si="1"/>
        <v>0</v>
      </c>
      <c r="K39" s="377"/>
      <c r="L39" s="633"/>
    </row>
    <row r="40" spans="1:12" ht="17.25" thickBot="1">
      <c r="A40" s="602"/>
      <c r="B40" s="388" t="s">
        <v>381</v>
      </c>
      <c r="C40" s="299"/>
      <c r="D40" s="375"/>
      <c r="E40" s="376"/>
      <c r="F40" s="281"/>
      <c r="G40" s="282"/>
      <c r="H40" s="308"/>
      <c r="I40" s="309"/>
      <c r="J40" s="298">
        <f t="shared" si="1"/>
        <v>0</v>
      </c>
      <c r="K40" s="377"/>
      <c r="L40" s="633"/>
    </row>
    <row r="41" spans="1:12" ht="17.25" thickBot="1">
      <c r="A41" s="632"/>
      <c r="B41" s="289" t="s">
        <v>74</v>
      </c>
      <c r="C41" s="290"/>
      <c r="D41" s="370"/>
      <c r="E41" s="371"/>
      <c r="F41" s="291"/>
      <c r="G41" s="292"/>
      <c r="H41" s="293"/>
      <c r="I41" s="311"/>
      <c r="J41" s="298">
        <f t="shared" si="1"/>
        <v>0</v>
      </c>
      <c r="K41" s="394"/>
      <c r="L41" s="604"/>
    </row>
    <row r="42" spans="1:12" ht="17.25" thickBot="1">
      <c r="A42" s="634" t="s">
        <v>6</v>
      </c>
      <c r="B42" s="312" t="s">
        <v>262</v>
      </c>
      <c r="C42" s="280"/>
      <c r="D42" s="363">
        <v>2</v>
      </c>
      <c r="E42" s="364">
        <v>2</v>
      </c>
      <c r="F42" s="296"/>
      <c r="G42" s="297"/>
      <c r="H42" s="283"/>
      <c r="I42" s="304"/>
      <c r="J42" s="298">
        <f t="shared" si="1"/>
        <v>4</v>
      </c>
      <c r="K42" s="373">
        <f>SUM(J42:J62)</f>
        <v>35</v>
      </c>
      <c r="L42" s="603" t="s">
        <v>382</v>
      </c>
    </row>
    <row r="43" spans="1:12" ht="17.25" thickBot="1">
      <c r="A43" s="635"/>
      <c r="B43" s="312" t="s">
        <v>56</v>
      </c>
      <c r="C43" s="280"/>
      <c r="D43" s="363"/>
      <c r="E43" s="364"/>
      <c r="F43" s="281">
        <v>1</v>
      </c>
      <c r="G43" s="282">
        <v>1</v>
      </c>
      <c r="H43" s="283"/>
      <c r="I43" s="304"/>
      <c r="J43" s="298">
        <f t="shared" si="1"/>
        <v>2</v>
      </c>
      <c r="K43" s="377"/>
      <c r="L43" s="633"/>
    </row>
    <row r="44" spans="1:12" ht="17.25" thickBot="1">
      <c r="A44" s="635"/>
      <c r="B44" s="312" t="s">
        <v>57</v>
      </c>
      <c r="C44" s="280">
        <v>2</v>
      </c>
      <c r="D44" s="363">
        <v>2</v>
      </c>
      <c r="E44" s="364">
        <v>2</v>
      </c>
      <c r="F44" s="281"/>
      <c r="G44" s="282"/>
      <c r="H44" s="283"/>
      <c r="I44" s="304"/>
      <c r="J44" s="298">
        <f t="shared" si="1"/>
        <v>6</v>
      </c>
      <c r="K44" s="377"/>
      <c r="L44" s="633"/>
    </row>
    <row r="45" spans="1:12" ht="17.25" thickBot="1">
      <c r="A45" s="636"/>
      <c r="B45" s="279" t="s">
        <v>72</v>
      </c>
      <c r="C45" s="280"/>
      <c r="D45" s="363"/>
      <c r="E45" s="364"/>
      <c r="F45" s="281">
        <v>2</v>
      </c>
      <c r="G45" s="282">
        <v>2</v>
      </c>
      <c r="H45" s="283"/>
      <c r="I45" s="284"/>
      <c r="J45" s="298">
        <f t="shared" si="1"/>
        <v>4</v>
      </c>
      <c r="K45" s="392"/>
      <c r="L45" s="633"/>
    </row>
    <row r="46" spans="1:12" ht="17.25" thickBot="1">
      <c r="A46" s="636"/>
      <c r="B46" s="395" t="s">
        <v>96</v>
      </c>
      <c r="C46" s="299"/>
      <c r="D46" s="375"/>
      <c r="E46" s="376"/>
      <c r="F46" s="281"/>
      <c r="G46" s="282"/>
      <c r="H46" s="308"/>
      <c r="I46" s="309"/>
      <c r="J46" s="298">
        <f t="shared" si="1"/>
        <v>0</v>
      </c>
      <c r="K46" s="396"/>
      <c r="L46" s="633"/>
    </row>
    <row r="47" spans="1:12" ht="17.25" thickBot="1">
      <c r="A47" s="636"/>
      <c r="B47" s="397" t="s">
        <v>383</v>
      </c>
      <c r="C47" s="280"/>
      <c r="D47" s="363"/>
      <c r="E47" s="364"/>
      <c r="F47" s="281"/>
      <c r="G47" s="282">
        <v>3</v>
      </c>
      <c r="H47" s="283"/>
      <c r="I47" s="304"/>
      <c r="J47" s="298">
        <f t="shared" si="1"/>
        <v>3</v>
      </c>
      <c r="K47" s="392"/>
      <c r="L47" s="633"/>
    </row>
    <row r="48" spans="1:12" ht="17.25" thickBot="1">
      <c r="A48" s="636"/>
      <c r="B48" s="395" t="s">
        <v>263</v>
      </c>
      <c r="C48" s="280"/>
      <c r="D48" s="363"/>
      <c r="E48" s="364"/>
      <c r="F48" s="281"/>
      <c r="G48" s="282">
        <v>1</v>
      </c>
      <c r="H48" s="283"/>
      <c r="I48" s="304"/>
      <c r="J48" s="298">
        <f t="shared" si="1"/>
        <v>1</v>
      </c>
      <c r="K48" s="392"/>
      <c r="L48" s="633"/>
    </row>
    <row r="49" spans="1:12" ht="17.25" thickBot="1">
      <c r="A49" s="636"/>
      <c r="B49" s="395" t="s">
        <v>384</v>
      </c>
      <c r="C49" s="280"/>
      <c r="D49" s="363"/>
      <c r="E49" s="364"/>
      <c r="F49" s="281"/>
      <c r="G49" s="282"/>
      <c r="H49" s="283"/>
      <c r="I49" s="304"/>
      <c r="J49" s="298">
        <f t="shared" si="1"/>
        <v>0</v>
      </c>
      <c r="K49" s="392"/>
      <c r="L49" s="633"/>
    </row>
    <row r="50" spans="1:12" ht="17.25" thickBot="1">
      <c r="A50" s="636"/>
      <c r="B50" s="395" t="s">
        <v>63</v>
      </c>
      <c r="C50" s="305"/>
      <c r="D50" s="385"/>
      <c r="E50" s="386"/>
      <c r="F50" s="281"/>
      <c r="G50" s="282"/>
      <c r="H50" s="306"/>
      <c r="I50" s="307"/>
      <c r="J50" s="298">
        <f t="shared" si="1"/>
        <v>0</v>
      </c>
      <c r="K50" s="392"/>
      <c r="L50" s="633"/>
    </row>
    <row r="51" spans="1:12" ht="17.25" thickBot="1">
      <c r="A51" s="636"/>
      <c r="B51" s="397" t="s">
        <v>385</v>
      </c>
      <c r="C51" s="280"/>
      <c r="D51" s="363"/>
      <c r="E51" s="364"/>
      <c r="F51" s="281"/>
      <c r="G51" s="282"/>
      <c r="H51" s="283"/>
      <c r="I51" s="313"/>
      <c r="J51" s="298">
        <f t="shared" si="1"/>
        <v>0</v>
      </c>
      <c r="K51" s="392"/>
      <c r="L51" s="633"/>
    </row>
    <row r="52" spans="1:12" ht="17.25" thickBot="1">
      <c r="A52" s="636"/>
      <c r="B52" s="312" t="s">
        <v>386</v>
      </c>
      <c r="C52" s="280"/>
      <c r="D52" s="363"/>
      <c r="E52" s="364"/>
      <c r="F52" s="281"/>
      <c r="G52" s="282"/>
      <c r="H52" s="283"/>
      <c r="I52" s="304">
        <v>2</v>
      </c>
      <c r="J52" s="298">
        <f t="shared" si="1"/>
        <v>2</v>
      </c>
      <c r="K52" s="392"/>
      <c r="L52" s="633"/>
    </row>
    <row r="53" spans="1:12" ht="17.25" thickBot="1">
      <c r="A53" s="636"/>
      <c r="B53" s="312" t="s">
        <v>264</v>
      </c>
      <c r="C53" s="280"/>
      <c r="D53" s="363"/>
      <c r="E53" s="364"/>
      <c r="F53" s="281"/>
      <c r="G53" s="282"/>
      <c r="H53" s="283"/>
      <c r="I53" s="304">
        <v>3</v>
      </c>
      <c r="J53" s="298">
        <f t="shared" si="1"/>
        <v>3</v>
      </c>
      <c r="K53" s="392"/>
      <c r="L53" s="633"/>
    </row>
    <row r="54" spans="1:12" ht="17.25" thickBot="1">
      <c r="A54" s="636"/>
      <c r="B54" s="397" t="s">
        <v>290</v>
      </c>
      <c r="C54" s="280"/>
      <c r="D54" s="363"/>
      <c r="E54" s="364"/>
      <c r="F54" s="281"/>
      <c r="G54" s="282"/>
      <c r="H54" s="283"/>
      <c r="I54" s="304">
        <v>2</v>
      </c>
      <c r="J54" s="298">
        <f t="shared" si="1"/>
        <v>2</v>
      </c>
      <c r="K54" s="392"/>
      <c r="L54" s="633"/>
    </row>
    <row r="55" spans="1:12" ht="17.25" thickBot="1">
      <c r="A55" s="636"/>
      <c r="B55" s="397" t="s">
        <v>387</v>
      </c>
      <c r="C55" s="299"/>
      <c r="D55" s="375"/>
      <c r="E55" s="376"/>
      <c r="F55" s="281"/>
      <c r="G55" s="282"/>
      <c r="H55" s="308"/>
      <c r="I55" s="309">
        <v>2</v>
      </c>
      <c r="J55" s="298">
        <f t="shared" si="1"/>
        <v>2</v>
      </c>
      <c r="K55" s="392"/>
      <c r="L55" s="633"/>
    </row>
    <row r="56" spans="1:12" ht="17.25" thickBot="1">
      <c r="A56" s="636"/>
      <c r="B56" s="314" t="s">
        <v>388</v>
      </c>
      <c r="C56" s="299"/>
      <c r="D56" s="375"/>
      <c r="E56" s="376"/>
      <c r="F56" s="281"/>
      <c r="G56" s="282"/>
      <c r="H56" s="308"/>
      <c r="I56" s="309"/>
      <c r="J56" s="298">
        <f t="shared" si="1"/>
        <v>0</v>
      </c>
      <c r="K56" s="392"/>
      <c r="L56" s="633"/>
    </row>
    <row r="57" spans="1:12" ht="17.25" thickBot="1">
      <c r="A57" s="636"/>
      <c r="B57" s="314" t="s">
        <v>265</v>
      </c>
      <c r="C57" s="280"/>
      <c r="D57" s="363"/>
      <c r="E57" s="364"/>
      <c r="F57" s="281"/>
      <c r="G57" s="282"/>
      <c r="H57" s="283"/>
      <c r="I57" s="304"/>
      <c r="J57" s="298">
        <f t="shared" si="1"/>
        <v>0</v>
      </c>
      <c r="K57" s="392"/>
      <c r="L57" s="633"/>
    </row>
    <row r="58" spans="1:12" ht="17.25" thickBot="1">
      <c r="A58" s="636"/>
      <c r="B58" s="314" t="s">
        <v>266</v>
      </c>
      <c r="C58" s="299"/>
      <c r="D58" s="375"/>
      <c r="E58" s="376"/>
      <c r="F58" s="281"/>
      <c r="G58" s="282"/>
      <c r="H58" s="308"/>
      <c r="I58" s="309">
        <v>2</v>
      </c>
      <c r="J58" s="298">
        <f t="shared" si="1"/>
        <v>2</v>
      </c>
      <c r="K58" s="392"/>
      <c r="L58" s="633"/>
    </row>
    <row r="59" spans="1:12" ht="17.25" thickBot="1">
      <c r="A59" s="636"/>
      <c r="B59" s="314" t="s">
        <v>267</v>
      </c>
      <c r="C59" s="280"/>
      <c r="D59" s="363"/>
      <c r="E59" s="364"/>
      <c r="F59" s="281"/>
      <c r="G59" s="282">
        <v>2</v>
      </c>
      <c r="H59" s="283"/>
      <c r="I59" s="304">
        <v>2</v>
      </c>
      <c r="J59" s="298">
        <f t="shared" si="1"/>
        <v>4</v>
      </c>
      <c r="K59" s="392"/>
      <c r="L59" s="633"/>
    </row>
    <row r="60" spans="1:12" ht="17.25" thickBot="1">
      <c r="A60" s="637"/>
      <c r="B60" s="314" t="s">
        <v>268</v>
      </c>
      <c r="C60" s="280"/>
      <c r="D60" s="363"/>
      <c r="E60" s="364"/>
      <c r="F60" s="281"/>
      <c r="G60" s="282"/>
      <c r="H60" s="283"/>
      <c r="I60" s="304"/>
      <c r="J60" s="298">
        <f t="shared" si="1"/>
        <v>0</v>
      </c>
      <c r="K60" s="392"/>
      <c r="L60" s="633"/>
    </row>
    <row r="61" spans="1:12" ht="17.25" thickBot="1">
      <c r="A61" s="637"/>
      <c r="B61" s="314" t="s">
        <v>269</v>
      </c>
      <c r="C61" s="280"/>
      <c r="D61" s="363"/>
      <c r="E61" s="364"/>
      <c r="F61" s="281"/>
      <c r="G61" s="282"/>
      <c r="H61" s="283"/>
      <c r="I61" s="304"/>
      <c r="J61" s="298">
        <f t="shared" si="1"/>
        <v>0</v>
      </c>
      <c r="K61" s="392"/>
      <c r="L61" s="633"/>
    </row>
    <row r="62" spans="1:12" ht="17.25" thickBot="1">
      <c r="A62" s="638"/>
      <c r="B62" s="397" t="s">
        <v>270</v>
      </c>
      <c r="C62" s="280"/>
      <c r="D62" s="363"/>
      <c r="E62" s="364"/>
      <c r="F62" s="291"/>
      <c r="G62" s="292"/>
      <c r="H62" s="283"/>
      <c r="I62" s="304"/>
      <c r="J62" s="298">
        <f t="shared" si="1"/>
        <v>0</v>
      </c>
      <c r="K62" s="392"/>
      <c r="L62" s="604"/>
    </row>
    <row r="63" spans="1:12" ht="17.25" thickBot="1">
      <c r="A63" s="641" t="s">
        <v>271</v>
      </c>
      <c r="B63" s="381" t="s">
        <v>389</v>
      </c>
      <c r="C63" s="272"/>
      <c r="D63" s="359"/>
      <c r="E63" s="360"/>
      <c r="F63" s="273">
        <v>2</v>
      </c>
      <c r="G63" s="274">
        <v>2</v>
      </c>
      <c r="H63" s="275"/>
      <c r="I63" s="275"/>
      <c r="J63" s="298">
        <f t="shared" si="1"/>
        <v>4</v>
      </c>
      <c r="K63" s="398">
        <f>SUM(J63:J64)</f>
        <v>4</v>
      </c>
      <c r="L63" s="603"/>
    </row>
    <row r="64" spans="1:12" ht="17.25" thickBot="1">
      <c r="A64" s="642"/>
      <c r="B64" s="399" t="s">
        <v>55</v>
      </c>
      <c r="C64" s="290"/>
      <c r="D64" s="370"/>
      <c r="E64" s="371"/>
      <c r="F64" s="291"/>
      <c r="G64" s="292"/>
      <c r="H64" s="293"/>
      <c r="I64" s="293"/>
      <c r="J64" s="298">
        <f t="shared" si="1"/>
        <v>0</v>
      </c>
      <c r="K64" s="400"/>
      <c r="L64" s="604"/>
    </row>
    <row r="65" spans="1:12" ht="17.25" thickBot="1">
      <c r="A65" s="605" t="s">
        <v>272</v>
      </c>
      <c r="B65" s="401" t="s">
        <v>390</v>
      </c>
      <c r="C65" s="299">
        <v>1</v>
      </c>
      <c r="D65" s="375">
        <v>1</v>
      </c>
      <c r="E65" s="376">
        <v>1</v>
      </c>
      <c r="F65" s="273"/>
      <c r="G65" s="274"/>
      <c r="H65" s="308"/>
      <c r="I65" s="309"/>
      <c r="J65" s="298">
        <f t="shared" si="1"/>
        <v>3</v>
      </c>
      <c r="K65" s="377">
        <f>SUM(J65:J67)</f>
        <v>3</v>
      </c>
      <c r="L65" s="603" t="s">
        <v>391</v>
      </c>
    </row>
    <row r="66" spans="1:12" ht="17.25" thickBot="1">
      <c r="A66" s="606"/>
      <c r="B66" s="279" t="s">
        <v>392</v>
      </c>
      <c r="C66" s="280"/>
      <c r="D66" s="363"/>
      <c r="E66" s="364"/>
      <c r="F66" s="281"/>
      <c r="G66" s="282"/>
      <c r="H66" s="283"/>
      <c r="I66" s="304"/>
      <c r="J66" s="298">
        <f t="shared" si="1"/>
        <v>0</v>
      </c>
      <c r="K66" s="377"/>
      <c r="L66" s="633"/>
    </row>
    <row r="67" spans="1:12" ht="17.25" thickBot="1">
      <c r="A67" s="617"/>
      <c r="B67" s="402" t="s">
        <v>393</v>
      </c>
      <c r="C67" s="290"/>
      <c r="D67" s="370"/>
      <c r="E67" s="371"/>
      <c r="F67" s="291"/>
      <c r="G67" s="292"/>
      <c r="H67" s="293"/>
      <c r="I67" s="311"/>
      <c r="J67" s="298">
        <f t="shared" si="1"/>
        <v>0</v>
      </c>
      <c r="K67" s="403"/>
      <c r="L67" s="604"/>
    </row>
    <row r="68" spans="1:12" ht="17.25" thickBot="1">
      <c r="A68" s="624" t="s">
        <v>273</v>
      </c>
      <c r="B68" s="381" t="s">
        <v>394</v>
      </c>
      <c r="C68" s="272">
        <v>2</v>
      </c>
      <c r="D68" s="359">
        <v>2</v>
      </c>
      <c r="E68" s="360"/>
      <c r="F68" s="273"/>
      <c r="G68" s="274"/>
      <c r="H68" s="275"/>
      <c r="I68" s="303"/>
      <c r="J68" s="298">
        <f t="shared" si="1"/>
        <v>4</v>
      </c>
      <c r="K68" s="373">
        <f>SUM(J68:J69)</f>
        <v>4</v>
      </c>
      <c r="L68" s="603"/>
    </row>
    <row r="69" spans="1:12" ht="17.25" thickBot="1">
      <c r="A69" s="625"/>
      <c r="B69" s="404" t="s">
        <v>395</v>
      </c>
      <c r="C69" s="280"/>
      <c r="D69" s="363"/>
      <c r="E69" s="364"/>
      <c r="F69" s="281"/>
      <c r="G69" s="282"/>
      <c r="H69" s="283"/>
      <c r="I69" s="304"/>
      <c r="J69" s="298">
        <f t="shared" si="1"/>
        <v>0</v>
      </c>
      <c r="K69" s="377"/>
      <c r="L69" s="633"/>
    </row>
    <row r="70" spans="1:12" ht="17.25" thickBot="1">
      <c r="A70" s="639" t="s">
        <v>396</v>
      </c>
      <c r="B70" s="381" t="s">
        <v>397</v>
      </c>
      <c r="C70" s="272">
        <v>1</v>
      </c>
      <c r="D70" s="359">
        <v>1</v>
      </c>
      <c r="E70" s="360">
        <v>1</v>
      </c>
      <c r="F70" s="273"/>
      <c r="G70" s="274"/>
      <c r="H70" s="275"/>
      <c r="I70" s="303"/>
      <c r="J70" s="298">
        <f t="shared" si="1"/>
        <v>3</v>
      </c>
      <c r="K70" s="405">
        <f>SUM(J70:J74)</f>
        <v>11</v>
      </c>
      <c r="L70" s="603"/>
    </row>
    <row r="71" spans="1:12" ht="17.25" thickBot="1">
      <c r="A71" s="640"/>
      <c r="B71" s="382" t="s">
        <v>398</v>
      </c>
      <c r="C71" s="280"/>
      <c r="D71" s="363"/>
      <c r="E71" s="364"/>
      <c r="F71" s="281">
        <v>1</v>
      </c>
      <c r="G71" s="282">
        <v>1</v>
      </c>
      <c r="H71" s="283">
        <v>1</v>
      </c>
      <c r="I71" s="304">
        <v>1</v>
      </c>
      <c r="J71" s="298">
        <f t="shared" si="1"/>
        <v>4</v>
      </c>
      <c r="K71" s="406"/>
      <c r="L71" s="633"/>
    </row>
    <row r="72" spans="1:12" ht="17.25" thickBot="1">
      <c r="A72" s="640"/>
      <c r="B72" s="387" t="s">
        <v>399</v>
      </c>
      <c r="C72" s="280"/>
      <c r="D72" s="363"/>
      <c r="E72" s="364"/>
      <c r="F72" s="281">
        <v>1</v>
      </c>
      <c r="G72" s="282">
        <v>1</v>
      </c>
      <c r="H72" s="283"/>
      <c r="I72" s="304"/>
      <c r="J72" s="298">
        <f t="shared" si="1"/>
        <v>2</v>
      </c>
      <c r="K72" s="406"/>
      <c r="L72" s="633"/>
    </row>
    <row r="73" spans="1:12" ht="17.25" thickBot="1">
      <c r="A73" s="640"/>
      <c r="B73" s="407" t="s">
        <v>400</v>
      </c>
      <c r="C73" s="280">
        <v>1</v>
      </c>
      <c r="D73" s="363">
        <v>1</v>
      </c>
      <c r="E73" s="364"/>
      <c r="F73" s="281"/>
      <c r="G73" s="282"/>
      <c r="H73" s="283"/>
      <c r="I73" s="304"/>
      <c r="J73" s="298">
        <f t="shared" si="1"/>
        <v>2</v>
      </c>
      <c r="K73" s="406"/>
      <c r="L73" s="633"/>
    </row>
    <row r="74" spans="1:12" ht="17.25" thickBot="1">
      <c r="A74" s="608"/>
      <c r="B74" s="384" t="s">
        <v>401</v>
      </c>
      <c r="C74" s="305"/>
      <c r="D74" s="385"/>
      <c r="E74" s="386"/>
      <c r="F74" s="291"/>
      <c r="G74" s="292"/>
      <c r="H74" s="306"/>
      <c r="I74" s="307"/>
      <c r="J74" s="298">
        <f t="shared" si="1"/>
        <v>0</v>
      </c>
      <c r="K74" s="408"/>
      <c r="L74" s="604"/>
    </row>
    <row r="75" spans="1:12" ht="17.25" thickBot="1">
      <c r="A75" s="601" t="s">
        <v>402</v>
      </c>
      <c r="B75" s="409" t="s">
        <v>404</v>
      </c>
      <c r="C75" s="272">
        <v>1</v>
      </c>
      <c r="D75" s="359">
        <v>1</v>
      </c>
      <c r="E75" s="360">
        <v>2</v>
      </c>
      <c r="F75" s="273">
        <v>1</v>
      </c>
      <c r="G75" s="274">
        <v>1</v>
      </c>
      <c r="H75" s="275">
        <v>1</v>
      </c>
      <c r="I75" s="275">
        <v>1</v>
      </c>
      <c r="J75" s="298">
        <f t="shared" si="1"/>
        <v>8</v>
      </c>
      <c r="K75" s="315">
        <f>SUM(J75:J77)</f>
        <v>8</v>
      </c>
      <c r="L75" s="410"/>
    </row>
    <row r="76" spans="1:12" ht="17.25" thickBot="1">
      <c r="A76" s="602"/>
      <c r="B76" s="411" t="s">
        <v>274</v>
      </c>
      <c r="C76" s="317"/>
      <c r="D76" s="412"/>
      <c r="E76" s="413"/>
      <c r="F76" s="281"/>
      <c r="G76" s="282"/>
      <c r="H76" s="300"/>
      <c r="I76" s="300"/>
      <c r="J76" s="298">
        <f t="shared" si="1"/>
        <v>0</v>
      </c>
      <c r="K76" s="414"/>
      <c r="L76" s="380"/>
    </row>
    <row r="77" spans="1:12" ht="17.25" thickBot="1">
      <c r="A77" s="632"/>
      <c r="B77" s="318" t="s">
        <v>405</v>
      </c>
      <c r="C77" s="290"/>
      <c r="D77" s="370"/>
      <c r="E77" s="371"/>
      <c r="F77" s="319"/>
      <c r="G77" s="320"/>
      <c r="H77" s="293"/>
      <c r="I77" s="293"/>
      <c r="J77" s="298">
        <f t="shared" si="1"/>
        <v>0</v>
      </c>
      <c r="K77" s="316"/>
      <c r="L77" s="415"/>
    </row>
    <row r="78" spans="1:12" ht="17.25" thickBot="1">
      <c r="A78" s="321" t="s">
        <v>406</v>
      </c>
      <c r="B78" s="322"/>
      <c r="C78" s="416">
        <f>SUM(C4:C77)</f>
        <v>24</v>
      </c>
      <c r="D78" s="417">
        <f t="shared" ref="D78:E78" si="2">SUM(D4:D77)</f>
        <v>24</v>
      </c>
      <c r="E78" s="326">
        <f t="shared" si="2"/>
        <v>25</v>
      </c>
      <c r="F78" s="323">
        <f>SUM(F4:F77)</f>
        <v>24</v>
      </c>
      <c r="G78" s="324">
        <f>SUM(G4:G77)</f>
        <v>24</v>
      </c>
      <c r="H78" s="326">
        <f t="shared" ref="H78" si="3">SUM(H4:H77)</f>
        <v>24</v>
      </c>
      <c r="I78" s="325">
        <f>SUM(I4:I77)</f>
        <v>24</v>
      </c>
      <c r="J78" s="327">
        <f>SUM(J4:J77)</f>
        <v>169</v>
      </c>
      <c r="K78" s="328">
        <f>SUM(K4:K77)</f>
        <v>169</v>
      </c>
      <c r="L78" s="418"/>
    </row>
    <row r="79" spans="1:12">
      <c r="A79" s="356"/>
      <c r="B79" s="419"/>
    </row>
    <row r="80" spans="1:12">
      <c r="A80" s="420"/>
      <c r="B80" s="356"/>
    </row>
    <row r="81" spans="1:2">
      <c r="A81" s="356"/>
      <c r="B81" s="356"/>
    </row>
  </sheetData>
  <mergeCells count="28">
    <mergeCell ref="A75:A77"/>
    <mergeCell ref="A63:A64"/>
    <mergeCell ref="L63:L64"/>
    <mergeCell ref="A65:A67"/>
    <mergeCell ref="L65:L67"/>
    <mergeCell ref="A68:A69"/>
    <mergeCell ref="L68:L69"/>
    <mergeCell ref="A28:A41"/>
    <mergeCell ref="L28:L41"/>
    <mergeCell ref="A42:A62"/>
    <mergeCell ref="L42:L62"/>
    <mergeCell ref="A70:A74"/>
    <mergeCell ref="L70:L74"/>
    <mergeCell ref="M2:N3"/>
    <mergeCell ref="A4:A11"/>
    <mergeCell ref="L4:L11"/>
    <mergeCell ref="A15:A27"/>
    <mergeCell ref="L15:L27"/>
    <mergeCell ref="A12:A13"/>
    <mergeCell ref="L12:L13"/>
    <mergeCell ref="A2:A3"/>
    <mergeCell ref="B2:B3"/>
    <mergeCell ref="C2:E2"/>
    <mergeCell ref="F2:G2"/>
    <mergeCell ref="H2:I2"/>
    <mergeCell ref="J2:J3"/>
    <mergeCell ref="K2:K3"/>
    <mergeCell ref="L2:L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workbookViewId="0">
      <selection activeCell="P18" sqref="P18"/>
    </sheetView>
  </sheetViews>
  <sheetFormatPr defaultRowHeight="16.5"/>
  <cols>
    <col min="1" max="1" width="18.875" customWidth="1"/>
    <col min="2" max="4" width="8.75" customWidth="1"/>
    <col min="5" max="5" width="2.125" customWidth="1"/>
    <col min="6" max="6" width="9.75" customWidth="1"/>
    <col min="7" max="7" width="6.5" customWidth="1"/>
    <col min="8" max="8" width="1.75" customWidth="1"/>
    <col min="9" max="9" width="7.25" customWidth="1"/>
    <col min="10" max="10" width="5.125" customWidth="1"/>
    <col min="11" max="20" width="3.625" customWidth="1"/>
    <col min="21" max="21" width="5.5" bestFit="1" customWidth="1"/>
    <col min="22" max="22" width="4.75" customWidth="1"/>
    <col min="23" max="23" width="5.125" customWidth="1"/>
    <col min="24" max="24" width="6.125" customWidth="1"/>
    <col min="25" max="25" width="26.875" style="424" customWidth="1"/>
    <col min="26" max="26" width="13.125" style="425" customWidth="1"/>
    <col min="27" max="27" width="19.25" bestFit="1" customWidth="1"/>
    <col min="28" max="29" width="7.25" customWidth="1"/>
  </cols>
  <sheetData>
    <row r="1" spans="1:27" ht="28.5" thickBot="1">
      <c r="A1" s="421" t="s">
        <v>407</v>
      </c>
      <c r="B1" s="422"/>
      <c r="J1" s="423"/>
    </row>
    <row r="2" spans="1:27" ht="21.75" thickBot="1">
      <c r="A2" s="426" t="s">
        <v>28</v>
      </c>
      <c r="B2" s="427" t="s">
        <v>408</v>
      </c>
      <c r="C2" s="428"/>
      <c r="D2" s="429"/>
      <c r="F2" s="661" t="s">
        <v>409</v>
      </c>
      <c r="G2" s="662"/>
      <c r="H2" s="430"/>
      <c r="I2" s="663" t="s">
        <v>410</v>
      </c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5"/>
    </row>
    <row r="3" spans="1:27" ht="33" customHeight="1">
      <c r="A3" s="537" t="s">
        <v>411</v>
      </c>
      <c r="B3" s="644" t="s">
        <v>412</v>
      </c>
      <c r="C3" s="646" t="s">
        <v>413</v>
      </c>
      <c r="D3" s="648" t="s">
        <v>288</v>
      </c>
      <c r="F3" s="650" t="s">
        <v>414</v>
      </c>
      <c r="G3" s="651"/>
      <c r="H3" s="430"/>
      <c r="I3" s="431" t="s">
        <v>30</v>
      </c>
      <c r="J3" s="432" t="s">
        <v>31</v>
      </c>
      <c r="K3" s="577" t="s">
        <v>32</v>
      </c>
      <c r="L3" s="578"/>
      <c r="M3" s="577" t="s">
        <v>33</v>
      </c>
      <c r="N3" s="578"/>
      <c r="O3" s="577" t="s">
        <v>246</v>
      </c>
      <c r="P3" s="654"/>
      <c r="Q3" s="578"/>
      <c r="R3" s="577" t="s">
        <v>34</v>
      </c>
      <c r="S3" s="654"/>
      <c r="T3" s="578"/>
      <c r="U3" s="430" t="s">
        <v>415</v>
      </c>
      <c r="V3" s="430" t="s">
        <v>416</v>
      </c>
      <c r="W3" s="655" t="s">
        <v>417</v>
      </c>
      <c r="X3" s="657" t="s">
        <v>35</v>
      </c>
    </row>
    <row r="4" spans="1:27" ht="33.75" thickBot="1">
      <c r="A4" s="643"/>
      <c r="B4" s="645"/>
      <c r="C4" s="647"/>
      <c r="D4" s="649"/>
      <c r="F4" s="652"/>
      <c r="G4" s="653"/>
      <c r="H4" s="430"/>
      <c r="I4" s="431" t="s">
        <v>36</v>
      </c>
      <c r="J4" s="329">
        <v>5</v>
      </c>
      <c r="K4" s="329">
        <v>6</v>
      </c>
      <c r="L4" s="329">
        <v>7</v>
      </c>
      <c r="M4" s="329">
        <v>7</v>
      </c>
      <c r="N4" s="329">
        <f>SUM(M4:M10)</f>
        <v>7</v>
      </c>
      <c r="O4" s="329">
        <v>10</v>
      </c>
      <c r="P4" s="329">
        <v>12</v>
      </c>
      <c r="Q4" s="329">
        <v>14</v>
      </c>
      <c r="R4" s="329">
        <v>14</v>
      </c>
      <c r="S4" s="329">
        <v>16</v>
      </c>
      <c r="T4" s="433">
        <v>18</v>
      </c>
      <c r="U4" s="329">
        <v>0</v>
      </c>
      <c r="V4" s="329">
        <v>10</v>
      </c>
      <c r="W4" s="656"/>
      <c r="X4" s="578"/>
    </row>
    <row r="5" spans="1:27" ht="47.25">
      <c r="A5" s="434" t="s">
        <v>418</v>
      </c>
      <c r="B5" s="435">
        <f>X5</f>
        <v>25</v>
      </c>
      <c r="C5" s="435">
        <f>'[1]113-1_7班'!L4</f>
        <v>29</v>
      </c>
      <c r="D5" s="436">
        <f>C5-B5+1</f>
        <v>5</v>
      </c>
      <c r="F5" s="437">
        <f>IF(W5=0,D5,D5/(W5-U5))</f>
        <v>1.6666666666666667</v>
      </c>
      <c r="G5" s="438" t="s">
        <v>420</v>
      </c>
      <c r="H5" s="439"/>
      <c r="I5" s="658" t="s">
        <v>421</v>
      </c>
      <c r="J5" s="440"/>
      <c r="K5" s="440">
        <v>1</v>
      </c>
      <c r="L5" s="440"/>
      <c r="M5" s="440"/>
      <c r="N5" s="440"/>
      <c r="O5" s="440">
        <v>2</v>
      </c>
      <c r="P5" s="440"/>
      <c r="Q5" s="440"/>
      <c r="R5" s="440"/>
      <c r="S5" s="440"/>
      <c r="T5" s="440"/>
      <c r="U5" s="440"/>
      <c r="V5" s="441"/>
      <c r="W5" s="442">
        <f>SUM(J5:V5)</f>
        <v>3</v>
      </c>
      <c r="X5" s="443">
        <f>$J$4*J5+$K$4*K5+$L$4*L5+$M$4*M5+$N$4*N5+$O$4*O5+$P$4*P5+$Q$4*Q5+$R$4*R5+$S$4*S5+$T$4*T5+$U$4*U5+$V$4*V5-1</f>
        <v>25</v>
      </c>
      <c r="Y5" s="444" t="s">
        <v>422</v>
      </c>
      <c r="Z5" s="445" t="s">
        <v>423</v>
      </c>
    </row>
    <row r="6" spans="1:27" ht="21">
      <c r="A6" s="28" t="s">
        <v>424</v>
      </c>
      <c r="B6" s="446">
        <f t="shared" ref="B6:B17" si="0">X6</f>
        <v>12</v>
      </c>
      <c r="C6" s="447">
        <f>'[1]113-1_7班'!L12</f>
        <v>14</v>
      </c>
      <c r="D6" s="448">
        <f>C6-B6</f>
        <v>2</v>
      </c>
      <c r="F6" s="437">
        <f t="shared" ref="F6:F17" si="1">IF(W6=0,D6,D6/(W6-U6))</f>
        <v>2</v>
      </c>
      <c r="G6" s="438" t="s">
        <v>419</v>
      </c>
      <c r="H6" s="439"/>
      <c r="I6" s="659"/>
      <c r="J6" s="440"/>
      <c r="K6" s="440"/>
      <c r="L6" s="440"/>
      <c r="M6" s="440"/>
      <c r="N6" s="440"/>
      <c r="O6" s="440"/>
      <c r="P6" s="440">
        <v>1</v>
      </c>
      <c r="Q6" s="440"/>
      <c r="R6" s="440"/>
      <c r="S6" s="440"/>
      <c r="T6" s="440"/>
      <c r="U6" s="440"/>
      <c r="V6" s="441"/>
      <c r="W6" s="442">
        <f t="shared" ref="W6:W17" si="2">SUM(J6:V6)</f>
        <v>1</v>
      </c>
      <c r="X6" s="443">
        <f t="shared" ref="X6:X17" si="3">$J$4*J6+$K$4*K6+$L$4*L6+$M$4*M6+$N$4*N6+$O$4*O6+$P$4*P6+$Q$4*Q6+$R$4*R6+$S$4*S6+$T$4*T6+$U$4*U6+$V$4*V6</f>
        <v>12</v>
      </c>
      <c r="Y6" s="444"/>
      <c r="Z6" s="449"/>
    </row>
    <row r="7" spans="1:27" ht="21">
      <c r="A7" s="29" t="s">
        <v>425</v>
      </c>
      <c r="B7" s="446">
        <f t="shared" si="0"/>
        <v>14</v>
      </c>
      <c r="C7" s="447">
        <f>'[1]113-1_7班'!L14</f>
        <v>10</v>
      </c>
      <c r="D7" s="448">
        <f t="shared" ref="D7:D16" si="4">C7-B7</f>
        <v>-4</v>
      </c>
      <c r="F7" s="437">
        <f t="shared" si="1"/>
        <v>-4</v>
      </c>
      <c r="G7" s="438" t="s">
        <v>426</v>
      </c>
      <c r="H7" s="439"/>
      <c r="I7" s="659"/>
      <c r="J7" s="440"/>
      <c r="K7" s="440"/>
      <c r="L7" s="440"/>
      <c r="M7" s="440"/>
      <c r="N7" s="440"/>
      <c r="O7" s="440"/>
      <c r="P7" s="440"/>
      <c r="Q7" s="440"/>
      <c r="R7" s="440">
        <v>1</v>
      </c>
      <c r="S7" s="440"/>
      <c r="T7" s="440"/>
      <c r="U7" s="440"/>
      <c r="V7" s="441"/>
      <c r="W7" s="442">
        <f t="shared" si="2"/>
        <v>1</v>
      </c>
      <c r="X7" s="443">
        <f t="shared" si="3"/>
        <v>14</v>
      </c>
      <c r="Y7" s="444"/>
    </row>
    <row r="8" spans="1:27" ht="21">
      <c r="A8" s="29" t="s">
        <v>40</v>
      </c>
      <c r="B8" s="446">
        <f t="shared" si="0"/>
        <v>0</v>
      </c>
      <c r="C8" s="447">
        <f>'[1]113-1_7班'!L68</f>
        <v>4</v>
      </c>
      <c r="D8" s="448">
        <f t="shared" si="4"/>
        <v>4</v>
      </c>
      <c r="F8" s="437">
        <f t="shared" si="1"/>
        <v>4</v>
      </c>
      <c r="G8" s="438" t="s">
        <v>419</v>
      </c>
      <c r="H8" s="439"/>
      <c r="I8" s="659"/>
      <c r="J8" s="440"/>
      <c r="K8" s="440"/>
      <c r="L8" s="440"/>
      <c r="M8" s="440"/>
      <c r="N8" s="440"/>
      <c r="O8" s="440"/>
      <c r="P8" s="440"/>
      <c r="Q8" s="440"/>
      <c r="R8" s="440"/>
      <c r="S8" s="440"/>
      <c r="T8" s="440"/>
      <c r="U8" s="440"/>
      <c r="V8" s="441"/>
      <c r="W8" s="442">
        <f t="shared" si="2"/>
        <v>0</v>
      </c>
      <c r="X8" s="443">
        <f t="shared" si="3"/>
        <v>0</v>
      </c>
      <c r="Y8" s="450"/>
    </row>
    <row r="9" spans="1:27" ht="21">
      <c r="A9" s="29" t="s">
        <v>427</v>
      </c>
      <c r="B9" s="446">
        <f t="shared" si="0"/>
        <v>12</v>
      </c>
      <c r="C9" s="447">
        <f>'[1]113-1_7班'!L15</f>
        <v>27</v>
      </c>
      <c r="D9" s="448">
        <f>C9-B9+1</f>
        <v>16</v>
      </c>
      <c r="E9" s="1"/>
      <c r="F9" s="451">
        <f t="shared" si="1"/>
        <v>16</v>
      </c>
      <c r="G9" s="438" t="s">
        <v>419</v>
      </c>
      <c r="H9" s="439"/>
      <c r="I9" s="659"/>
      <c r="J9" s="440"/>
      <c r="K9" s="440"/>
      <c r="L9" s="440"/>
      <c r="M9" s="440"/>
      <c r="N9" s="440"/>
      <c r="O9" s="440"/>
      <c r="P9" s="440">
        <v>1</v>
      </c>
      <c r="Q9" s="440"/>
      <c r="R9" s="440"/>
      <c r="S9" s="440"/>
      <c r="T9" s="440"/>
      <c r="U9" s="440"/>
      <c r="V9" s="441"/>
      <c r="W9" s="442">
        <f t="shared" si="2"/>
        <v>1</v>
      </c>
      <c r="X9" s="443">
        <f t="shared" si="3"/>
        <v>12</v>
      </c>
      <c r="Y9" s="444" t="s">
        <v>428</v>
      </c>
      <c r="Z9" s="449" t="s">
        <v>429</v>
      </c>
    </row>
    <row r="10" spans="1:27" ht="21">
      <c r="A10" s="29" t="s">
        <v>8</v>
      </c>
      <c r="B10" s="446">
        <f t="shared" si="0"/>
        <v>12</v>
      </c>
      <c r="C10" s="447">
        <f>'[1]113-1_7班'!L28</f>
        <v>24</v>
      </c>
      <c r="D10" s="448">
        <f>C10-B10+1</f>
        <v>13</v>
      </c>
      <c r="F10" s="451">
        <f t="shared" si="1"/>
        <v>13</v>
      </c>
      <c r="G10" s="438" t="s">
        <v>430</v>
      </c>
      <c r="H10" s="439"/>
      <c r="I10" s="659"/>
      <c r="J10" s="440"/>
      <c r="K10" s="440"/>
      <c r="L10" s="440"/>
      <c r="M10" s="440"/>
      <c r="N10" s="440"/>
      <c r="O10" s="440"/>
      <c r="P10" s="440">
        <v>1</v>
      </c>
      <c r="Q10" s="440"/>
      <c r="R10" s="440"/>
      <c r="S10" s="440"/>
      <c r="T10" s="440"/>
      <c r="U10" s="440"/>
      <c r="V10" s="441"/>
      <c r="W10" s="442">
        <f t="shared" si="2"/>
        <v>1</v>
      </c>
      <c r="X10" s="443">
        <f t="shared" si="3"/>
        <v>12</v>
      </c>
      <c r="Y10" s="444" t="s">
        <v>431</v>
      </c>
      <c r="Z10" s="449" t="s">
        <v>429</v>
      </c>
      <c r="AA10" s="425"/>
    </row>
    <row r="11" spans="1:27" ht="47.25">
      <c r="A11" s="29" t="s">
        <v>6</v>
      </c>
      <c r="B11" s="446">
        <f t="shared" si="0"/>
        <v>29</v>
      </c>
      <c r="C11" s="447">
        <f>'[1]113-1_7班'!L42</f>
        <v>35</v>
      </c>
      <c r="D11" s="448">
        <f>C11-B11+2</f>
        <v>8</v>
      </c>
      <c r="F11" s="437">
        <f t="shared" si="1"/>
        <v>2.6666666666666665</v>
      </c>
      <c r="G11" s="438" t="s">
        <v>419</v>
      </c>
      <c r="H11" s="439"/>
      <c r="I11" s="659"/>
      <c r="J11" s="440">
        <v>1</v>
      </c>
      <c r="K11" s="440"/>
      <c r="L11" s="440"/>
      <c r="M11" s="440"/>
      <c r="N11" s="440"/>
      <c r="O11" s="440"/>
      <c r="P11" s="440">
        <v>2</v>
      </c>
      <c r="Q11" s="440"/>
      <c r="R11" s="440"/>
      <c r="S11" s="440"/>
      <c r="T11" s="440"/>
      <c r="U11" s="440"/>
      <c r="V11" s="441"/>
      <c r="W11" s="442">
        <f t="shared" si="2"/>
        <v>3</v>
      </c>
      <c r="X11" s="443">
        <f t="shared" si="3"/>
        <v>29</v>
      </c>
      <c r="Y11" s="444" t="s">
        <v>432</v>
      </c>
      <c r="Z11" s="449" t="s">
        <v>433</v>
      </c>
    </row>
    <row r="12" spans="1:27" ht="21">
      <c r="A12" s="29" t="s">
        <v>271</v>
      </c>
      <c r="B12" s="446">
        <f t="shared" si="0"/>
        <v>0</v>
      </c>
      <c r="C12" s="447">
        <f>'[1]113-1_7班'!L63</f>
        <v>4</v>
      </c>
      <c r="D12" s="448">
        <f t="shared" si="4"/>
        <v>4</v>
      </c>
      <c r="F12" s="437">
        <f t="shared" si="1"/>
        <v>4</v>
      </c>
      <c r="G12" s="438" t="s">
        <v>430</v>
      </c>
      <c r="H12" s="439"/>
      <c r="I12" s="659"/>
      <c r="J12" s="440"/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1"/>
      <c r="W12" s="442">
        <f t="shared" si="2"/>
        <v>0</v>
      </c>
      <c r="X12" s="443">
        <f t="shared" si="3"/>
        <v>0</v>
      </c>
      <c r="Y12" s="444"/>
    </row>
    <row r="13" spans="1:27" ht="21">
      <c r="A13" s="29" t="s">
        <v>434</v>
      </c>
      <c r="B13" s="446">
        <f t="shared" si="0"/>
        <v>0</v>
      </c>
      <c r="C13" s="452">
        <f>'[1]113-1_7班'!K70+'[1]113-1_7班'!K71</f>
        <v>7</v>
      </c>
      <c r="D13" s="448">
        <f t="shared" si="4"/>
        <v>7</v>
      </c>
      <c r="F13" s="437">
        <f t="shared" si="1"/>
        <v>7</v>
      </c>
      <c r="G13" s="438" t="s">
        <v>419</v>
      </c>
      <c r="H13" s="439"/>
      <c r="I13" s="659"/>
      <c r="J13" s="440"/>
      <c r="K13" s="440"/>
      <c r="L13" s="440"/>
      <c r="M13" s="440"/>
      <c r="N13" s="440"/>
      <c r="O13" s="440"/>
      <c r="P13" s="440"/>
      <c r="Q13" s="440"/>
      <c r="R13" s="440"/>
      <c r="S13" s="440"/>
      <c r="T13" s="440"/>
      <c r="U13" s="441"/>
      <c r="V13" s="441"/>
      <c r="W13" s="442">
        <f t="shared" si="2"/>
        <v>0</v>
      </c>
      <c r="X13" s="443">
        <f t="shared" si="3"/>
        <v>0</v>
      </c>
      <c r="Y13" s="444"/>
    </row>
    <row r="14" spans="1:27" ht="21">
      <c r="A14" s="29" t="s">
        <v>18</v>
      </c>
      <c r="B14" s="446">
        <f t="shared" si="0"/>
        <v>0</v>
      </c>
      <c r="C14" s="453">
        <f>'[1]113-1_7班'!K72</f>
        <v>2</v>
      </c>
      <c r="D14" s="448">
        <f t="shared" si="4"/>
        <v>2</v>
      </c>
      <c r="F14" s="437">
        <f t="shared" si="1"/>
        <v>2</v>
      </c>
      <c r="G14" s="438" t="s">
        <v>426</v>
      </c>
      <c r="H14" s="439"/>
      <c r="I14" s="659"/>
      <c r="J14" s="440"/>
      <c r="K14" s="440"/>
      <c r="L14" s="440"/>
      <c r="M14" s="440"/>
      <c r="N14" s="440"/>
      <c r="O14" s="440"/>
      <c r="P14" s="440"/>
      <c r="Q14" s="440"/>
      <c r="R14" s="440"/>
      <c r="S14" s="440"/>
      <c r="T14" s="440"/>
      <c r="U14" s="441"/>
      <c r="V14" s="441"/>
      <c r="W14" s="442">
        <f t="shared" si="2"/>
        <v>0</v>
      </c>
      <c r="X14" s="443">
        <f t="shared" si="3"/>
        <v>0</v>
      </c>
      <c r="Y14" s="444"/>
    </row>
    <row r="15" spans="1:27" ht="39">
      <c r="A15" s="454" t="s">
        <v>435</v>
      </c>
      <c r="B15" s="446">
        <f t="shared" si="0"/>
        <v>0</v>
      </c>
      <c r="C15" s="453">
        <f>'[1]113-1_7班'!K73</f>
        <v>2</v>
      </c>
      <c r="D15" s="448">
        <f t="shared" si="4"/>
        <v>2</v>
      </c>
      <c r="F15" s="437">
        <f t="shared" si="1"/>
        <v>2</v>
      </c>
      <c r="G15" s="438" t="s">
        <v>419</v>
      </c>
      <c r="H15" s="439"/>
      <c r="I15" s="659"/>
      <c r="J15" s="440"/>
      <c r="K15" s="440"/>
      <c r="L15" s="440"/>
      <c r="M15" s="440"/>
      <c r="N15" s="440"/>
      <c r="O15" s="440"/>
      <c r="P15" s="440"/>
      <c r="Q15" s="440"/>
      <c r="R15" s="440"/>
      <c r="S15" s="440"/>
      <c r="T15" s="440"/>
      <c r="U15" s="441"/>
      <c r="V15" s="441"/>
      <c r="W15" s="442">
        <f t="shared" si="2"/>
        <v>0</v>
      </c>
      <c r="X15" s="443">
        <f t="shared" si="3"/>
        <v>0</v>
      </c>
      <c r="Y15" s="444"/>
    </row>
    <row r="16" spans="1:27" ht="21">
      <c r="A16" s="27" t="s">
        <v>272</v>
      </c>
      <c r="B16" s="446">
        <f t="shared" si="0"/>
        <v>6</v>
      </c>
      <c r="C16" s="453">
        <f>'[1]113-1_7班'!L65</f>
        <v>3</v>
      </c>
      <c r="D16" s="448">
        <f t="shared" si="4"/>
        <v>-3</v>
      </c>
      <c r="F16" s="437">
        <f t="shared" si="1"/>
        <v>-3</v>
      </c>
      <c r="G16" s="438" t="s">
        <v>430</v>
      </c>
      <c r="H16" s="439"/>
      <c r="I16" s="659"/>
      <c r="J16" s="440"/>
      <c r="K16" s="440">
        <v>1</v>
      </c>
      <c r="L16" s="440"/>
      <c r="M16" s="440"/>
      <c r="N16" s="440"/>
      <c r="O16" s="440"/>
      <c r="P16" s="440"/>
      <c r="Q16" s="440"/>
      <c r="R16" s="440"/>
      <c r="S16" s="440"/>
      <c r="T16" s="440"/>
      <c r="U16" s="441"/>
      <c r="V16" s="441"/>
      <c r="W16" s="442">
        <f t="shared" si="2"/>
        <v>1</v>
      </c>
      <c r="X16" s="443">
        <f t="shared" si="3"/>
        <v>6</v>
      </c>
      <c r="Y16" s="444" t="s">
        <v>436</v>
      </c>
    </row>
    <row r="17" spans="1:25" ht="21">
      <c r="A17" s="28" t="s">
        <v>403</v>
      </c>
      <c r="B17" s="446">
        <f t="shared" si="0"/>
        <v>0</v>
      </c>
      <c r="C17" s="447">
        <f>'[1]113-1_7班'!K75</f>
        <v>8</v>
      </c>
      <c r="D17" s="448">
        <f>C17-B17-7</f>
        <v>1</v>
      </c>
      <c r="F17" s="437">
        <f t="shared" si="1"/>
        <v>1</v>
      </c>
      <c r="G17" s="438" t="s">
        <v>419</v>
      </c>
      <c r="H17" s="439"/>
      <c r="I17" s="660"/>
      <c r="J17" s="455"/>
      <c r="K17" s="455"/>
      <c r="L17" s="455"/>
      <c r="M17" s="455"/>
      <c r="N17" s="455"/>
      <c r="O17" s="455"/>
      <c r="P17" s="455"/>
      <c r="Q17" s="455"/>
      <c r="R17" s="455"/>
      <c r="S17" s="455"/>
      <c r="T17" s="455"/>
      <c r="U17" s="456"/>
      <c r="V17" s="456"/>
      <c r="W17" s="442">
        <f t="shared" si="2"/>
        <v>0</v>
      </c>
      <c r="X17" s="443">
        <f t="shared" si="3"/>
        <v>0</v>
      </c>
      <c r="Y17" s="444" t="s">
        <v>246</v>
      </c>
    </row>
    <row r="18" spans="1:25" ht="21">
      <c r="A18" s="457"/>
      <c r="B18" s="458">
        <f>SUM(B5:B17)</f>
        <v>110</v>
      </c>
      <c r="C18" s="458">
        <f>SUM(C5:C17)</f>
        <v>169</v>
      </c>
      <c r="D18" s="458">
        <f>SUM(D5:D17)</f>
        <v>57</v>
      </c>
      <c r="X18" s="459"/>
      <c r="Y18" s="460"/>
    </row>
    <row r="19" spans="1:25" ht="27.95" customHeight="1">
      <c r="A19" s="461"/>
    </row>
    <row r="20" spans="1:25">
      <c r="D20" s="461"/>
    </row>
  </sheetData>
  <mergeCells count="14">
    <mergeCell ref="R3:T3"/>
    <mergeCell ref="W3:W4"/>
    <mergeCell ref="X3:X4"/>
    <mergeCell ref="I5:I17"/>
    <mergeCell ref="F2:G2"/>
    <mergeCell ref="I2:X2"/>
    <mergeCell ref="K3:L3"/>
    <mergeCell ref="M3:N3"/>
    <mergeCell ref="O3:Q3"/>
    <mergeCell ref="A3:A4"/>
    <mergeCell ref="B3:B4"/>
    <mergeCell ref="C3:C4"/>
    <mergeCell ref="D3:D4"/>
    <mergeCell ref="F3:G4"/>
  </mergeCells>
  <phoneticPr fontId="2" type="noConversion"/>
  <conditionalFormatting sqref="F1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4</vt:i4>
      </vt:variant>
    </vt:vector>
  </HeadingPairs>
  <TitlesOfParts>
    <vt:vector size="10" baseType="lpstr">
      <vt:lpstr>全校113學年度授課節數比較表</vt:lpstr>
      <vt:lpstr>日113課程節數預估表</vt:lpstr>
      <vt:lpstr>日114課程節數預估表</vt:lpstr>
      <vt:lpstr>112課程節數一覽表(商經科修改，橙色底深紅字)</vt:lpstr>
      <vt:lpstr>進113課程節數一覽表</vt:lpstr>
      <vt:lpstr>113進修部-節數比較表(7班)</vt:lpstr>
      <vt:lpstr>'112課程節數一覽表(商經科修改，橙色底深紅字)'!Print_Area</vt:lpstr>
      <vt:lpstr>日113課程節數預估表!Print_Area</vt:lpstr>
      <vt:lpstr>日114課程節數預估表!Print_Area</vt:lpstr>
      <vt:lpstr>全校113學年度授課節數比較表!Print_Area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kll</dc:creator>
  <cp:lastModifiedBy>user</cp:lastModifiedBy>
  <cp:lastPrinted>2024-10-30T06:56:47Z</cp:lastPrinted>
  <dcterms:created xsi:type="dcterms:W3CDTF">2005-06-02T08:07:47Z</dcterms:created>
  <dcterms:modified xsi:type="dcterms:W3CDTF">2024-11-08T08:52:13Z</dcterms:modified>
</cp:coreProperties>
</file>